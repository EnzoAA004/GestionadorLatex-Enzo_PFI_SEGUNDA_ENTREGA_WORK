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allazgos" sheetId="1" state="visible" r:id="rId3"/>
    <sheet name="Resumen" sheetId="2" state="visible" r:id="rId4"/>
  </sheets>
  <definedNames>
    <definedName function="false" hidden="true" localSheetId="0" name="_xlnm._FilterDatabase" vbProcedure="false">Hallazgos!$A$1:$H$68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<sst xmlns="http://schemas.openxmlformats.org/spreadsheetml/2006/main" count="491" uniqueCount="226">
  <si>
    <t xml:space="preserve">#</t>
  </si>
  <si>
    <t xml:space="preserve">Prioridad</t>
  </si>
  <si>
    <t xml:space="preserve">Tipo</t>
  </si>
  <si>
    <t xml:space="preserve">Apartado (pág.)</t>
  </si>
  <si>
    <t xml:space="preserve">Hallazgo</t>
  </si>
  <si>
    <t xml:space="preserve">Sugerencia</t>
  </si>
  <si>
    <t xml:space="preserve">Origen</t>
  </si>
  <si>
    <t xml:space="preserve">Estado</t>
  </si>
  <si>
    <t xml:space="preserve">Alta</t>
  </si>
  <si>
    <t xml:space="preserve">Mejora</t>
  </si>
  <si>
    <t xml:space="preserve">Inicio (antes de p.2)</t>
  </si>
  <si>
    <t xml:space="preserve">No hay portada, resumen/abstract ni palabras clave. El documento arranca en 'Agradecimientos' y los autores solo se nombran en el Anexo D.</t>
  </si>
  <si>
    <t xml:space="preserve">Agregar portada (título, autores, tutor, carrera, fecha) y resumen ES/EN con palabras clave.</t>
  </si>
  <si>
    <t xml:space="preserve">Lectura del documento</t>
  </si>
  <si>
    <t xml:space="preserve">Pendiente</t>
  </si>
  <si>
    <t xml:space="preserve">Obj. 4.2 (p.18); caps. 13–15 (pp.137–154); Anexo A.2 (pp.155–158)</t>
  </si>
  <si>
    <t xml:space="preserve">No existe capítulo de Discusión, Conclusiones generales ni Trabajos futuros, solo cierres parciales por capítulo. El último objetivo específico los promete y el cronograma los deja pendientes para nov–dic.</t>
  </si>
  <si>
    <t xml:space="preserve">Capítulo final con matriz objetivo → evidencia → grado de cumplimiento, discusión y líneas futuras.</t>
  </si>
  <si>
    <t xml:space="preserve">Sintaxis</t>
  </si>
  <si>
    <t xml:space="preserve">10.4.2 (p.84), 10.4.3 (p.86), 10.7.2 (pp.94–96), 12.3.1 (p.122)</t>
  </si>
  <si>
    <t xml:space="preserve">Quedaron cuatro marcadores '▣ FIGURA … INSERTAR' en lugar de las Figs. 10.4 (modelo de datos), 10.5 (clases), 10.7 (topología GCP) y 12.2 (WIF). El archivo tiene 24 imágenes para 28 figuras listadas.</t>
  </si>
  <si>
    <t xml:space="preserve">Insertar los diagramas o retirar figura y texto asociado, y ajustar la Lista de Figuras.</t>
  </si>
  <si>
    <t xml:space="preserve">Coherencia</t>
  </si>
  <si>
    <t xml:space="preserve">11.4 (pp.105–106); 13.3–13.4 (pp.126–127); Anexo E.3 (p.189)</t>
  </si>
  <si>
    <t xml:space="preserve">El umbral es 'Dice macro de primer plano ≥ 0,70', pero el valor de las cuatro estructuras (0,811) lo supera y el que 'reprueba' (0,679) incluye una clase llamada 'fondo'. El cálculo (4×0,811+0,15)/5 = 0,679 sugiere que ese promedio abarca 5 clases (4 estructuras + raw_0), no 'dos fondos' como dicen 11.4 y la Tabla 13.2. La fila 3 de la Tabla 13.2 rotula 0,811 como 'cuatro estructuras y un fondo', contra el texto.</t>
  </si>
  <si>
    <t xml:space="preserve">Definir formalmente qué clases entran en la métrica, publicar Dice por clase (las 6) y corregir rótulos. Decidir con claridad si el módulo axial aprueba.</t>
  </si>
  <si>
    <t xml:space="preserve">5.4 (p.20) y 11.11.1 (p.116) vs. 7.11.3 (p.49), RF-22 (pp.72–73), Tabla 15.1 (p.153)</t>
  </si>
  <si>
    <t xml:space="preserve">Se afirma que los hallazgos degenerativos están fuera del producto y que 'ninguna de las ocho estimaciones se expone'. Pero 7.11.3 dice que 'el producto puede generar' hallazgos, RF-22 los marca Alta/Implementado y la Tabla 15.1 'implementado e integrado'.</t>
  </si>
  <si>
    <t xml:space="preserve">Unificar ('implementado en Backend+AI, deshabilitado en el producto') y corregir 7.11.3, RF-22 y Tabla 15.1.</t>
  </si>
  <si>
    <t xml:space="preserve">6.3.2 (p.24), Tabla 6.4 (p.32), Tabla A.3 (p.158) vs. 6.3.4 (p.25) y 11.11.1 (p.116)</t>
  </si>
  <si>
    <t xml:space="preserve">Se dice que LumbarDISC 'sirvió de base/habilitó' los hallazgos por nivel, pero 6.3.4 atribuye ese modelo a SPIDER. Las 8 etiquetas (Pfirrmann, Modic, listesis…) no son las de LumbarDISC (estenosis). Confirmado externamente: LumbarDISC está anotado solo para estenosis (canal, receso subarticular, foramen) y las gradaciones del modelo (Pfirrmann, Modic, platillos, listesis, hernia, estrechamiento, abombamiento) las publica SPIDER en su release.</t>
  </si>
  <si>
    <t xml:space="preserve">Explicitar por modelo: dataset, etiquetas y partición.</t>
  </si>
  <si>
    <t xml:space="preserve">9.6–9.10 (pp.67–77), 11.7 (p.111), 15.2 (p.153), A.3 (p.158), Anexo F (p.195) vs. 11.12 (p.118), 13.8 (p.128)</t>
  </si>
  <si>
    <t xml:space="preserve">El recorrido E2E con interfaz sobre stack real figura 'pendiente' en unos lugares y con 'Playwright 11/11 PASS / evidencia final' en otros (parte sobre Demo Mode). El Anexo F dice ambas cosas en el mismo apartado.</t>
  </si>
  <si>
    <t xml:space="preserve">Tabla única de qué se probó y dónde (demo / local real / Cloud V2), con evidencia. Ejecutar el recorrido real o declararlo fuera de alcance.</t>
  </si>
  <si>
    <t xml:space="preserve">RV-02/03 (p.76), RF-21 y RNF-09 (pp.73–75), Tablas 13.5 y H.1 (pp.134, 208), A.1 (p.155), Tabla 15.1 (pp.152–153), Anexo F (p.195)</t>
  </si>
  <si>
    <t xml:space="preserve">Estados desactualizados en una entrega '100 %'. Validaciones 'En curso' aunque el cap. 13 las da por hechas. Tablas 13.5/H.1 admiten estar 'al 6 de octubre… requieren actualización'. Anexo A marca el 50 % 'En curso' y el 75 % 'Previsto'. Anexo F lista como 'Pendiente' la validación profesional, el negocio y Cloud, ya presentados. El archivo dice 'Tercera entrega 100 %' pero el cronograma deja el 75 % como futuro.</t>
  </si>
  <si>
    <t xml:space="preserve">Actualizar estados y fechas y aclarar a qué hito corresponde esta entrega.</t>
  </si>
  <si>
    <t xml:space="preserve">5.4 (p.20), RF-08/HU-14 (pp.68, 70), 5.5 (p.21), RNF-07 (p.75) vs. 11.12 (p.119), 13.8 (p.129)</t>
  </si>
  <si>
    <t xml:space="preserve">La comparación longitudinal es 'futura' en 5.4, RF-08 y HU-14, pero 'Parcial' en la Tabla 11.5 y 'PASS' en la 13.4. Se afirma que subjectRef no es la identidad longitudinal, mientras las tablas la describen 'basada principalmente en subjectRef/Demo Mode'.</t>
  </si>
  <si>
    <t xml:space="preserve">Fijar el estado real con su evidencia y explicar Patient/subjectRef en un solo lugar.</t>
  </si>
  <si>
    <t xml:space="preserve">13.8 (pp.128–129), 10.7.2 (p.96), 13.10 (p.132)</t>
  </si>
  <si>
    <t xml:space="preserve">Aparecen elementos que no están en alcance, requerimientos ni capacidades: chat contextual con LLM ('mock', Qwen, recurso pfi-llm-qwen-v2), Grad-CAM, export PDF/JSON, Demo Mode, '67B2/67C' y flags como productEnabled=false. Contrastan con el énfasis en 'no LLM' (7.10.4, p.48) y no se definen en el cuerpo.</t>
  </si>
  <si>
    <t xml:space="preserve">Incorporarlos formalmente (alcance, RF, capacidad) o retirarlos. Definir Demo Mode y los códigos internos.</t>
  </si>
  <si>
    <t xml:space="preserve">13.2 (p.125), 11.4 (p.106), 13.5 (p.127)</t>
  </si>
  <si>
    <t xml:space="preserve">Módulo axial: conteos de entrenamiento 'pendientes de recuperación', 'dos particiones que no coinciden' y partición de prueba ya usada antes. Los '81/102 casos' no cuadran con 515 pacientes y 1.545 máscaras (6.3.3). Hay riesgo de fuga y la evaluación no es reproducible.</t>
  </si>
  <si>
    <t xml:space="preserve">Reconstruir la partición o reevaluar con un split documentado (por paciente, con semilla) y publicar conteos.</t>
  </si>
  <si>
    <t xml:space="preserve">5.3 (p.20), RV-01 (p.76), 13.4 (p.127), E.3 (p.189), 13.12 (p.136)</t>
  </si>
  <si>
    <t xml:space="preserve">Se exige IoU como control 'no configurable', pero la Tabla 13.2 solo informa Dice. HD95 y NSD se desarrollan en 7.9 (pp.46–47) y no se usan. El proyecto incumple su propio criterio de promoción.</t>
  </si>
  <si>
    <t xml:space="preserve">Reportar IoU (y por clase) y, si es posible, HD95. Si no, recortar 7.9 y el objetivo.</t>
  </si>
  <si>
    <t xml:space="preserve">14.1, 14.8–14.10 (pp.138, 145–147)</t>
  </si>
  <si>
    <t xml:space="preserve">El modelo financiero no es reproducible. No se cuantifican altas mensuales, churn, estudios por cliente ni CAPEX. La tasa del 25 % aparece recién en 14.10. Hay '13,41 clientes activos'. La planilla fuente no se adjunta.</t>
  </si>
  <si>
    <t xml:space="preserve">Tabla de supuestos, anexar el libro de cálculo y explicar o redondear valores fraccionarios.</t>
  </si>
  <si>
    <t xml:space="preserve">13.11 (p.132), H.2 (p.203), 8.3 (p.53), 6.7.4 (p.29), D.1 (p.169)</t>
  </si>
  <si>
    <t xml:space="preserve">La validación profesional se apoya en 'la reconstrucción de los autores': sin fecha, duración, lugar ni registro. Las dos profesionales ya habían sido entrevistadas (EN-01, EN-03). La Dra. Torres trabaja en Prenuvo (D.1), que se analiza como competidor (6.7.4) con datos de esa fuente y sin referencia.</t>
  </si>
  <si>
    <t xml:space="preserve">Registrar fechas, guion, consentimiento y evidencia (capturas/video). Declarar el conflicto de interés y citar a Prenuvo.</t>
  </si>
  <si>
    <t xml:space="preserve">13.8 (p.128)</t>
  </si>
  <si>
    <t xml:space="preserve">La suite del AI Module cierra con 479 pruebas aprobadas y 40 fallidas (≈7,7 %), explicadas como 'brechas ambientales'. El Backend omite 78.</t>
  </si>
  <si>
    <t xml:space="preserve">Corregir o aislar con skips justificados para presentar una suite verde y reproducible.</t>
  </si>
  <si>
    <t xml:space="preserve">Media</t>
  </si>
  <si>
    <t xml:space="preserve">Duplicidad</t>
  </si>
  <si>
    <t xml:space="preserve">1. Introducción (p.15)</t>
  </si>
  <si>
    <t xml:space="preserve">El 2.º y 3.er párrafo ('La organización del documento avanza…') dicen lo mismo con redacción casi idéntica.</t>
  </si>
  <si>
    <t xml:space="preserve">Dejar uno.</t>
  </si>
  <si>
    <t xml:space="preserve">5.5–5.6 (p.21)</t>
  </si>
  <si>
    <t xml:space="preserve">Dos párrafos de cierre ('Este documento reúne…' / 'El documento final integra…'). El primero tiene estilo de título y falta el '5.6 Alcance del documento final' que lista el índice.</t>
  </si>
  <si>
    <t xml:space="preserve">Dejar uno bajo su título 5.6.</t>
  </si>
  <si>
    <t xml:space="preserve">6.3.3 (p.24), 7.2.3 (p.39), Anexo C (p.167)</t>
  </si>
  <si>
    <t xml:space="preserve">El dataset Sudirman/Al-Kafri (515 pacientes, 5 anotadores, headers DICOM 0,6875 mm / 4 mm) se describe tres veces casi literal.</t>
  </si>
  <si>
    <t xml:space="preserve">Describirlo una vez y referenciar.</t>
  </si>
  <si>
    <t xml:space="preserve">13.4–13.6 (p.127); 11.5 (p.108)</t>
  </si>
  <si>
    <t xml:space="preserve">Dos párrafos repiten la crítica al umbral. El párrafo sobre 'mediciones sin validación formal' está en 13.5, 13.6 y 11.5.</t>
  </si>
  <si>
    <t xml:space="preserve">Consolidar en un solo lugar.</t>
  </si>
  <si>
    <t xml:space="preserve">13.12 (pp.136–137)</t>
  </si>
  <si>
    <t xml:space="preserve">Seis viñetas y un párrafo con tres pares repetidos (conteos axiales, HD95, comparación diagnóstica).</t>
  </si>
  <si>
    <t xml:space="preserve">Reducir a 4 viñetas.</t>
  </si>
  <si>
    <t xml:space="preserve">14.14–14.15 (pp.150–151)</t>
  </si>
  <si>
    <t xml:space="preserve">La lista numerada va '3, 2, 3, 4, 5, 6, 7, 10, 9, 10' (falta el 8 y hay ítems repetidos). Tres párrafos de cierre redundantes, uno con estilo de título.</t>
  </si>
  <si>
    <t xml:space="preserve">Renumerar, deduplicar y dejar un único cierre.</t>
  </si>
  <si>
    <t xml:space="preserve">10.7.1–10.7.3 (pp.94–97), 13.9 (pp.130–131), 12.3.1 (p.122)</t>
  </si>
  <si>
    <t xml:space="preserve">La configuración de V2, las aclaraciones V1/V2, la pausa del 23/09 y 'RUNNABLE/ALWAYS' se repiten 3 a 5 veces. El texto repite además la tabla 10.7.2.</t>
  </si>
  <si>
    <t xml:space="preserve">Una sola explicación V1/V2 con referencias cruzadas.</t>
  </si>
  <si>
    <t xml:space="preserve">13.11 (pp.132–135) vs. Anexo H.3–H.6 (pp.204–208)</t>
  </si>
  <si>
    <t xml:space="preserve">La Tabla 13.5 es igual a la H.1. Fichas y síntesis repetidas. En H.4 hay viñetas duplicadas y su 'Limitaciones' copia el texto de H.5.</t>
  </si>
  <si>
    <t xml:space="preserve">Resumen en el cap. 13 y detalle en el Anexo H.</t>
  </si>
  <si>
    <t xml:space="preserve">Transversal (pp.68–77 y otras)</t>
  </si>
  <si>
    <t xml:space="preserve">'Comparación diagnóstica independiente no realizada' aparece 15 veces. 'No equivale a validación clínica' aparece 13. 'No se documentó el cierre E2E global' figura en HU-07, HU-10, RF-09, RF-18 y la matriz.</t>
  </si>
  <si>
    <t xml:space="preserve">Una sección 'Límites de la evidencia' y referenciarla.</t>
  </si>
  <si>
    <t xml:space="preserve">9.7 (pp.69–73), 10.4.3–10.5 (pp.86–87)</t>
  </si>
  <si>
    <t xml:space="preserve">RF-15 y RF-23 son casi idénticos y RF-05 y RF-25 se solapan. La frase 'La vista de procesos describe…' está duplicada. Patient/patientId/subjectRef se reexplica en 5.5, 8.6, 10.4.2, 11.9 y RNF-07.</t>
  </si>
  <si>
    <t xml:space="preserve">Fusionar RF y dejar una explicación del modelo Patient.</t>
  </si>
  <si>
    <t xml:space="preserve">9.1 (p.65), 10.8 (p.98), 11.8 (p.112), 14.2.1 (p.140), Anexo C (p.167), Anexo F (p.192)</t>
  </si>
  <si>
    <t xml:space="preserve">Referencias cruzadas erróneas. 9.1 dice que RF/RNF/RV 'conservan el significado del Cap. 8', que define N-xx/EN. 10.8 remite a 'vista de procesos (10.4.1)' y es la 10.5. 11.8 remite a 8.12 y es la 8.11.2. 14.2.1 dice que el human-in-the-loop está 'descrito en este capítulo' y está en 7.11.2. El Anexo C cita [5] (SPINEPS) para el dataset axial y es [3]. El Anexo F cita 'Tabla 9.1' y es F.1.</t>
  </si>
  <si>
    <t xml:space="preserve">Corregir.</t>
  </si>
  <si>
    <t xml:space="preserve">9.2 (p.65), 9.10 (pp.76–77)</t>
  </si>
  <si>
    <t xml:space="preserve">Se afirma que todo requerimiento nace de una necesidad, pero RF-11/12 citan 'alcance de seguridad' y RF-22 'estado del arte'. La matriz omite RF-22 a RF-25, RNF-02/08/10 y los RV.</t>
  </si>
  <si>
    <t xml:space="preserve">Completar la matriz y trazar cada RF.</t>
  </si>
  <si>
    <t xml:space="preserve">10.3 (p.80), 10.5.2 (p.89), 10.6.3 (pp.90–91) vs. 10.7.3 (p.97), ADR-007 (p.201)</t>
  </si>
  <si>
    <t xml:space="preserve">Google Cloud, Secret Manager y storage figuran como 'arquitectura objetivo / implementación planificada' y a la vez como 'Desplegado/validado'.</t>
  </si>
  <si>
    <t xml:space="preserve">Unificar en presente según el estado real.</t>
  </si>
  <si>
    <t xml:space="preserve">10.9.4 (p.101), 8.5 (p.54), 8.11.2 (p.60), 11.5 (p.107)</t>
  </si>
  <si>
    <t xml:space="preserve">No mostrar confianza numérica se justifica con 'las entrevistas lo señalaron', pero no consta en la Tabla 8.5. La encuesta lo ubica como 2.º requisito de confianza y el sistema calcula una 'confianza media'.</t>
  </si>
  <si>
    <t xml:space="preserve">Trazar la decisión y reconciliarla con la encuesta.</t>
  </si>
  <si>
    <t xml:space="preserve">5.3 (p.20), 8.6 (p.55), 12.5 (p.123), 13.10 (p.132)</t>
  </si>
  <si>
    <t xml:space="preserve">Cuatro esquemas distintos de 'niveles de validación': 3 bloques, 4, 9 capas y 6 niveles.</t>
  </si>
  <si>
    <t xml:space="preserve">Unificar en un único esquema.</t>
  </si>
  <si>
    <t xml:space="preserve">8.11.1–8.11.2 (pp.59–60)</t>
  </si>
  <si>
    <t xml:space="preserve">Se excluyen perfiles ajenos al universo, pero se reportan 'residentes', no incluidos en su definición. No queda claro si las 167 respuestas son antes o después de depurar. No hay cuestionario ni n por ítem.</t>
  </si>
  <si>
    <t xml:space="preserve">Aclarar y anexar el cuestionario y datos agregados.</t>
  </si>
  <si>
    <t xml:space="preserve">6.10 y Tabla 6.3 (pp.31–32) vs. Tabla 6.5 (p.34); 6.7.5 (p.29), 6.13 (p.37)</t>
  </si>
  <si>
    <t xml:space="preserve">6.10 presenta el axial como 'validado', pero el FODA admite que no alcanza el umbral y que no hay registro validado entre secuencias (6.3.3 habla de co-registro nativo). 6.7.5 enumera 3 productos y 6.13 suma Prenuvo, sin referencia (6.2 promete solo fuentes verificables).</t>
  </si>
  <si>
    <t xml:space="preserve">Alinear los textos.</t>
  </si>
  <si>
    <t xml:space="preserve">7.2.3 (p.39), 7.3.2 (p.40), 10.6.2 (p.90), 10.4.2 (p.85), 10.3 (p.80), 11.3–11.4</t>
  </si>
  <si>
    <t xml:space="preserve">Terminología inconsistente: 'Sudirman', 'Al-Kafri', 'Sudirman y Al-Kafri' y 'alkafri' (7.2.3 dice 'Sudirman et al.' y el [3] es Al-Kafri et al.). AAP como 'área entre elementos…' y como 'región anteroposterior'. 'Vértebras' y 'cuerpos vertebrales'; 'saco tecal' y 'saco dural'. Estados de revisión: 'aceptado/observado/corregido/descartado' en 9.7, 'rechazado' en 10.4.2 y sin 'corregido' en 10.3.</t>
  </si>
  <si>
    <t xml:space="preserve">Glosario terminológico único.</t>
  </si>
  <si>
    <t xml:space="preserve">6.1, 6.3.2–6.3.3 (pp.22–25), 7.14 (p.50), 10.5.2 (p.89), 10.7.1 (p.94), 12.6 (p.124), Anexo F (p.195)</t>
  </si>
  <si>
    <t xml:space="preserve">Lenguaje de proceso y notas internas en un documento final: 'a diferencia de lo previsto en la propuesta inicial', 'entrega del 25 %', 'no corresponde describir V2 como pausado', 'congelados para el traspaso', 'revisión editorial antes de continuar con nuevos capítulos'.</t>
  </si>
  <si>
    <t xml:space="preserve">Reescribir en presente descriptivo y mover la historia al Anexo F o A.</t>
  </si>
  <si>
    <t xml:space="preserve">11.5 (p.108), 13.6 (p.127), 6.4.4 (p.26), 13.11.2 (p.133)</t>
  </si>
  <si>
    <t xml:space="preserve">Rangos de contraste sin cita (disco 8–12 mm, lordosis 40–60°, canal). Se compara la suma L1–L5 (36°) con la lordosis habitual (que se mide L1–S1). 6.4.4 afirma que 'la literatura clínica considera más informativas' las áreas sin citar (solo 7.8.2 cita [29]). Contradice la advertencia de la Dra. Cejas de verificar bibliográficamente.</t>
  </si>
  <si>
    <t xml:space="preserve">Citar los rangos o quitarlos, y corregir la comparación.</t>
  </si>
  <si>
    <t xml:space="preserve">6.4.1 (p.25), 7.7.4 (p.44), Tabla 6.4 (p.32), 13.3 (p.126)</t>
  </si>
  <si>
    <t xml:space="preserve">nnU-Net y SPINEPS se presentan como baseline/comparador, pero nunca se comparan. Tampoco se contrasta el 0,893 con valores publicados del benchmark SPIDER.</t>
  </si>
  <si>
    <t xml:space="preserve">Agregar la comparación o reformular el rol.</t>
  </si>
  <si>
    <t xml:space="preserve">7.9.2–7.9.4 (pp.46–47), 8.11.1 (p.59), 14.6 y 14.8 (pp.143, 145–146)</t>
  </si>
  <si>
    <t xml:space="preserve">Ecuaciones numeradas (8.1)–(8.3) en el cap. 7 y (8.1)–(8.2) otra vez en el cap. 8. Símbolos corruptos ('max´'), exponente perdido en la TIR anual y espacios rotos.</t>
  </si>
  <si>
    <t xml:space="preserve">Rehacer con editor de ecuaciones y numerar por capítulo.</t>
  </si>
  <si>
    <t xml:space="preserve">8.5–8.9 (pp.54–58), 9.3–9.10 (pp.65–77), 10.4–10.7 (pp.81–97), 13.8–13.9 (pp.128–131), 11.12 (p.119), Anexo F (p.195)</t>
  </si>
  <si>
    <t xml:space="preserve">Más de 20 tablas sin número ni título. 8.6 cita una 'Tabla 8.1' inexistente y la Lista de Tablas (p.13) está incompleta. Los títulos van unas veces arriba y otras abajo, y hay 'TABLA 14.1' en mayúsculas. La Tabla 10.7.2 repite columnas. La Tabla 11.5 tiene filas con el texto de estado en la columna 'Capacidad'. El Anexo F remite a 'la tabla siguiente', que no existe.</t>
  </si>
  <si>
    <t xml:space="preserve">Normalizar numeración, posición y estilo de títulos, y regenerar las listas.</t>
  </si>
  <si>
    <t xml:space="preserve">Índice (pp.3–10), 5.6 (p.21), 13.11.3 (p.135), 14.15 (p.150)</t>
  </si>
  <si>
    <t xml:space="preserve">Índice desactualizado. Falta el 10.2. Los títulos 6.12, 10.9, 14.4 y 14.9 difieren del cuerpo. En H.3/H.4 el índice dice 'Funciones mostradas…' y el cuerpo 'Recorrido demostrado…'. El Anexo C lista subtítulos inexistentes. Párrafos largos con estilo de título aparecen como entradas. La frase meta 'máximo de cuatro admitido por la cátedra' (p.3) sobra.</t>
  </si>
  <si>
    <t xml:space="preserve">Corregir estilos y actualizar el campo del índice.</t>
  </si>
  <si>
    <t xml:space="preserve">RNF-09 (p.75), 11.12 (p.119), 14.1 (p.138), 1 (p.15), 11.4 (p.106), 7.10 (p.47), 8.5 (p.54)</t>
  </si>
  <si>
    <t xml:space="preserve">Errores de redacción: 'no se dependen de paths internos', '..' al cierre de celda, falta de puntuación ('PFI_RM_LUMBAR_FINAL un libro…') y 'capítulo/Capítulo 13' inconsistente. Condicional ('la interfaz debería permitir') para funciones ya implementadas. Celdas que empiezan en minúscula (8.5).</t>
  </si>
  <si>
    <t xml:space="preserve">Corrección de estilo integral.</t>
  </si>
  <si>
    <t xml:space="preserve">Caps. 9–13 (en general)</t>
  </si>
  <si>
    <t xml:space="preserve">Anglicismos y jerga interna sin definir: 'artifact' (≈76 veces), E2E (≈62), worklist, stack, hardening, fixtures, serving, overlay, full-series; códigos P10.9, FE-P8, 67B2/67C. Los estados en inglés (PARTIAL/IMPLEMENTED) de las Tablas 13.5/H.1 chocan con el español del cap. 9.</t>
  </si>
  <si>
    <t xml:space="preserve">Usar 'artefacto', ampliar el glosario y mover la nomenclatura interna a un anexo.</t>
  </si>
  <si>
    <t xml:space="preserve">Anexos A–H (pp.155–210)</t>
  </si>
  <si>
    <t xml:space="preserve">Rótulos inconsistentes ('Anexo A.' a F vs. 'Anexo G —' y 'H —'). Subsecciones sin numerar en C y F. Glosario no alfabético ('Archivo .ima' y '510(k)' al final, el primero todo en negrita). El Anexo C se titula 'Anatomía…' pero incluye origen y alcance del módulo axial. Viñeta huérfana al inicio del Anexo H (p.203).</t>
  </si>
  <si>
    <t xml:space="preserve">Homogeneizar rótulos y estructura.</t>
  </si>
  <si>
    <t xml:space="preserve">12.1 (p.120), 10.6.1 (p.89)</t>
  </si>
  <si>
    <t xml:space="preserve">Se habla de 'un integrante / el otro' sin nombres. Autoría y aportes individuales no son explícitos.</t>
  </si>
  <si>
    <t xml:space="preserve">Tabla de roles y aportes por autor.</t>
  </si>
  <si>
    <t xml:space="preserve">10.7.1–10.7.2 (pp.94–96), 13.9 (p.130)</t>
  </si>
  <si>
    <t xml:space="preserve">Se publican nombres de proyectos GCP, número de proyecto (1076511912623), revisiones, commits y usuario personal de GitHub. Los repositorios no figuran en Referencias y pueden ser privados. El detalle de facturación (presupuesto de USD 50, red IPv4) es excesivo.</t>
  </si>
  <si>
    <t xml:space="preserve">Retirar identificadores y agregar un anexo 'Disponibilidad de código y datos' (tags/hashes, licencia, instrucciones de reproducción).</t>
  </si>
  <si>
    <t xml:space="preserve">Agradecimientos (p.2), 8.3 (p.53), Anexo D (p.169)</t>
  </si>
  <si>
    <t xml:space="preserve">Se publican nombres, matrículas y transcripciones completas sin constancia de consentimiento. Se agradece a 2 de los 5 entrevistados y no a la Dra. Cejas (VP-02). Las fichas son heterogéneas y D.4 no repite la salvedad de 8.4 sobre la transcripción sin separación de hablantes.</t>
  </si>
  <si>
    <t xml:space="preserve">Anexar consentimiento, homogeneizar fichas y completar agradecimientos.</t>
  </si>
  <si>
    <t xml:space="preserve">Cap. 13 (pp.125–137)</t>
  </si>
  <si>
    <t xml:space="preserve">No hay figuras de resultados: ejemplos de segmentación contra referencia, casos de error, ni dispersión de Dice por paciente o clase. Una sola corrida, sin intervalos.</t>
  </si>
  <si>
    <t xml:space="preserve">Agregar figuras cualitativas, Dice por clase/paciente con IC (bootstrap) y análisis de error por nivel.</t>
  </si>
  <si>
    <t xml:space="preserve">RNF-02 y RNF-10 (pp.74–75)</t>
  </si>
  <si>
    <t xml:space="preserve">Requerimientos no funcionales sin umbrales medibles.</t>
  </si>
  <si>
    <t xml:space="preserve">Definir metas (tiempo por estudio, tamaño máximo, disponibilidad) y verificarlas; 13.9 ya mide una mediana ≈19 s.</t>
  </si>
  <si>
    <t xml:space="preserve">Baja</t>
  </si>
  <si>
    <t xml:space="preserve">14.5, 14.11, 14.12 (pp.142, 148)</t>
  </si>
  <si>
    <t xml:space="preserve">El barrido declarado (+10/12,5/15 %) no coincide con el aumento final (+15,6 a +16,7 % en cuotas). 'Varios órdenes de magnitud' (14.11) es en realidad ≈×390. TIR optimista de 541 % sin comentario. '1500' vs. '1.500'.</t>
  </si>
  <si>
    <t xml:space="preserve">Ajustar el texto y comentar los valores extremos.</t>
  </si>
  <si>
    <t xml:space="preserve">15.4 (p.154)</t>
  </si>
  <si>
    <t xml:space="preserve">Riesgos listados sin probabilidad, impacto ni mitigación.</t>
  </si>
  <si>
    <t xml:space="preserve">Matriz de riesgos.</t>
  </si>
  <si>
    <t xml:space="preserve">Anexo B (pp.160–164), Referencias (p.211)</t>
  </si>
  <si>
    <t xml:space="preserve">Glosario sin términos usados (ADR, WIF/OIDC, Cloud Run, JWT, ROC-AUC, F1, Pfirrmann, Modic, MRR/ARR, VAN/TIR, churn, Demo Mode). Definiciones con afirmaciones sin cita ('plano axial óptimo', 'protrusión más recurrente'). Faltan fuentes para PyTorch, SimpleITK, FastAPI, Spring Boot, tarifas de GCP (14.7.1), Slicer/OHIF (6.8). Conviene verificar los DOIs de 2025–2026 ([2], [5], [9]).</t>
  </si>
  <si>
    <t xml:space="preserve">Ampliar glosario y bibliografía.</t>
  </si>
  <si>
    <t xml:space="preserve">14.2.1 (pp.139–141)</t>
  </si>
  <si>
    <t xml:space="preserve">El branding (paleta, favicon, variantes) es extenso para una tesis de ingeniería, y el nombre MIRA·L no aparece antes del cap. 14.</t>
  </si>
  <si>
    <t xml:space="preserve">Mover a anexo o presentar el nombre en los cap. 1 y 5.</t>
  </si>
  <si>
    <t xml:space="preserve">6.10 (p.31), Tablas 6.3–6.4 (p.32)</t>
  </si>
  <si>
    <t xml:space="preserve">La lista 'simultáneamente' repite el axial en dos ítems. Aparece 'canales' en singular. 'Propuesta técnica (revisada por pares)' para Perumal es vago.</t>
  </si>
  <si>
    <t xml:space="preserve">Pulido editorial.</t>
  </si>
  <si>
    <t xml:space="preserve">10.9.4 (p.101) vs. D.2 (p.173) y D.3 (p.176)</t>
  </si>
  <si>
    <t xml:space="preserve">La tesis afirma que 'las entrevistas señalaron' que un valor de confianza sin validación clínica induce a error. En las transcripciones, EN-02 dice que un indicador de confianza 'podría servir' y EN-03 responde 'eso estaría bueno'. Solo EN-01 advierte sobre sesgo ante un grado asignado por la IA.</t>
  </si>
  <si>
    <t xml:space="preserve">Corregir la atribución o presentar la decisión como criterio propio con su fundamento.</t>
  </si>
  <si>
    <t xml:space="preserve">Contraste Anexo D</t>
  </si>
  <si>
    <t xml:space="preserve">7.10.2 (p.47)</t>
  </si>
  <si>
    <t xml:space="preserve">La cita «si se ve bonito no es lo que realmente importa» se atribuye al 'relevamiento preliminar', pero no aparece en ninguna de las cinco transcripciones del Anexo D (búsqueda textual).</t>
  </si>
  <si>
    <t xml:space="preserve">Identificar la fuente (entrevista, fecha) o retirarla.</t>
  </si>
  <si>
    <t xml:space="preserve">8.5–8.6 (pp.54–55), 13.12 (p.136), H.8 (p.210) vs. D.5 (p.183)</t>
  </si>
  <si>
    <t xml:space="preserve">EN-05 planteó como 'red flag' no comparar los resultados contra mediciones de especialistas (doble/triple ciego, intra/interobservador), y EN-01 a EN-04 también recomendaron validar con profesionales. El cap. 8 lo recoge de forma parcial (EN-05 aparece solo en el Hallazgo 11, por nivel anatómico) y el cap. 13 admite que no se hizo sin discutirlo como advertencia recibida.</t>
  </si>
  <si>
    <t xml:space="preserve">Incorporar el hallazgo a la Tabla 8.5, discutirlo en las conclusiones y evaluar una comparación acotada (p. ej., 20–50 cortes medidos por un profesional).</t>
  </si>
  <si>
    <t xml:space="preserve">Cap. 14 (pp.138–150), 11.11.2 (p.117), 6.3.2 (p.24)</t>
  </si>
  <si>
    <t xml:space="preserve">LumbarDISC se distribuye gratis solo para uso no comercial (acuerdo de uso de investigación RSNA MIRA / Kaggle). La tesis entrena con él el clasificador subarticular y a la vez propone un SaaS comercial, sin analizar la licencia. SPIDER figura como CC BY 4.0 (confirmado). La licencia de Sudirman/Al-Kafri (CC BY 4.0 según la tesis) no pude confirmarla.</t>
  </si>
  <si>
    <t xml:space="preserve">Tabla de licencias por dataset y su compatibilidad con uso comercial; excluir o reemplazar los modelos con restricción.</t>
  </si>
  <si>
    <t xml:space="preserve">Verificación externa</t>
  </si>
  <si>
    <t xml:space="preserve">6.3.1 (p.23), 6.4.1 (p.25), 13.2–13.3 (pp.125–126)</t>
  </si>
  <si>
    <t xml:space="preserve">SPIDER define una asignación oficial entrenamiento/validación, un conjunto secuestrado para un desafío continuo y valores de referencia (baseline y nnU-Net con rendimiento comparable). La tesis usa una partición propia 152/33/33, así que el 0,893 no es comparable con el benchmark publicado.</t>
  </si>
  <si>
    <t xml:space="preserve">Usar la partición oficial o enviar al desafío, y reportar contra el baseline y nnU-Net.</t>
  </si>
  <si>
    <t xml:space="preserve">6.4.3 (p.26), Tabla 6.4 (p.32), 11.11.1 (p.116)</t>
  </si>
  <si>
    <t xml:space="preserve">SpineNet [6] ya predice gradaciones equivalentes a los 8 hallazgos (Pfirrmann, estrechamiento, platillos, cambios medulares/Modic, listesis) con rendimiento 'casi humano', y SpineNetV2 [7] es abierto y tiene demo. La tesis lo trata solo como 'contexto', aunque sus F1 (0,125–0,846) son muy dispares.</t>
  </si>
  <si>
    <t xml:space="preserve">Usarlo como baseline directo o justificar la diferencia.</t>
  </si>
  <si>
    <t xml:space="preserve">7.8.2 (p.45), 6.4.4 (p.26), [29]</t>
  </si>
  <si>
    <t xml:space="preserve">Steurer et al. [29] no sostiene que el área del saco sea 'más sensible' que el diámetro AP: informa que los criterios más usados son AP &lt; 10 mm y área &lt; 70 mm² (saco dural &lt; 100 mm² en la mayoría) y concluye que falta consenso. Contradice también que el canal esté 'estandarizado en bibliografía' (EN-03).</t>
  </si>
  <si>
    <t xml:space="preserve">Reformular la afirmación o buscar una fuente que la respalde; anclar los umbrales en [29].</t>
  </si>
  <si>
    <t xml:space="preserve">13.6, Tabla 13.3 (pp.127–128)</t>
  </si>
  <si>
    <t xml:space="preserve">El AP de 9,8 mm en L3-L4 queda por debajo del criterio &lt; 10 mm que [29] reporta como el más usado para estenosis central, pero la tabla lo califica de 'consistente' sin comentario.</t>
  </si>
  <si>
    <t xml:space="preserve">Discutirlo (error de segmentación vs. hallazgo real) y contrastar con umbrales citados.</t>
  </si>
  <si>
    <t xml:space="preserve">6.7 (pp.28–29), Tabla 6.2</t>
  </si>
  <si>
    <t xml:space="preserve">Panorama comercial incompleto: CoLumbo tiene autorizaciones posteriores (K241211, ago-2024; CoLumboX K250367, may-2025), marcado CE y estudio clínico. Su 510(k) K220497 se validó contra ground truth de 3 radiólogos en 101 estudios de 7 sitios de EE. UU. Aparecen otros competidores no mencionados (p. ej., ScanDiags Ortho L-Spine MR-Q, K242607). MSKai (K240793, dic-2024) se limita a T2.</t>
  </si>
  <si>
    <t xml:space="preserve">Actualizar 6.7/Tabla 6.2 y usar su criterio de validación como vara en el cap. 13.</t>
  </si>
  <si>
    <t xml:space="preserve">6.5 (p.27), Tabla 6.4 (p.32), Referencia [9] (p.211)</t>
  </si>
  <si>
    <t xml:space="preserve">Atribución errónea: el artículo (BMC Med Imaging 2026;26:134, DOI correcto) tiene como primer autor a Akash Nixon; Perumal es el último. Se cita como 'Perumal et al.'. Ese trabajo validó contra dos radiólogos con ICC y MAE ≈ 1 mm, incluso en una cohorte externa (RSNA 2024).</t>
  </si>
  <si>
    <t xml:space="preserve">Citar NIXON et al. y usarlo como referencia de cómo validar mediciones.</t>
  </si>
  <si>
    <t xml:space="preserve">6.3.3 (p.24), Tabla 13.1 (p.125)</t>
  </si>
  <si>
    <t xml:space="preserve">La tesis afirma 1.545 máscaras finales (515 pacientes × 3 niveles). La ficha del dataset describe 515 pacientes y 48.345 cortes sin precisar el número de máscaras, y la tesis doctoral de Al-Kafri indica que los experimentos usaron un subconjunto de 101 pacientes. Eso es más coherente con los '81/102 casos evaluables' de la Tabla 13.1 que con 515.</t>
  </si>
  <si>
    <t xml:space="preserve">Verificar cuántas máscaras existen realmente y corregir las cifras.</t>
  </si>
  <si>
    <t xml:space="preserve">Verificación externa (parcial)</t>
  </si>
  <si>
    <t xml:space="preserve">6.6, Tabla 6.6 (pp.28, 36), 6.8 (p.30) vs. D.3 (p.176), D.5 (p.183)</t>
  </si>
  <si>
    <t xml:space="preserve">EN-03 y EN-05 indican que sus PACS ya delimitan niveles y miden o integran IA ('con un botón en el PACS ya se delimitan los niveles'). El análisis de sustitutos (Tabla 6.6) no incluye las herramientas nativas de PACS ni explica el valor diferencial de segmentar vértebras y discos.</t>
  </si>
  <si>
    <t xml:space="preserve">Agregar PACS como sustituto y reforzar la propuesta de valor (áreas, trazabilidad, revisión).</t>
  </si>
  <si>
    <t xml:space="preserve">8.7 (p.56), 7.11.3 (p.49) vs. D.2 (p.173), D.5 (p.183)</t>
  </si>
  <si>
    <t xml:space="preserve">EN-05 pidió que el sistema redacte una interpretación por nivel con terminología de informe y EN-02 pidió diagnósticos diferenciales. La Tabla 8.7 solo registra el diferimiento del diagnóstico diferencial; no se discute esa demanda frente al preinforme no diagnóstico.</t>
  </si>
  <si>
    <t xml:space="preserve">Documentarla como decisión de alcance explícita.</t>
  </si>
  <si>
    <t xml:space="preserve">8.3–8.4 (p.53), Anexo D (pp.169–187)</t>
  </si>
  <si>
    <t xml:space="preserve">Datos de perfil no verificables en las transcripciones: 'Imágenes MDQ' y las duraciones, y 'Sociedad Argentina de Radiología' para EN-01 (D.1 menciona solo FLENI y Prenuvo). EN-03 es presidenta de la SAR (D.3) y no se destaca. Ninguna entrevista tiene fecha. D.5 incluye una nota de transcripción automática sin cierre y D.4 no repite la salvedad de 8.4, que menciona solo a EN-04.</t>
  </si>
  <si>
    <t xml:space="preserve">Completar las fichas (fecha, medio, duración, fuente) y unificar las salvedades.</t>
  </si>
  <si>
    <t xml:space="preserve">Referencias (p.211)</t>
  </si>
  <si>
    <t xml:space="preserve">Verificadas por búsqueda: [1], [2], [3], [5], [6], [7], [8], [9], [10], [11], [12], [29]. [7] omite el n.º de artículo (14993). Sin verificar: [4], [13]–[28], [30]–[40]. No encontré referencias inexistentes.</t>
  </si>
  <si>
    <t xml:space="preserve">Completar [7] y verificar las restantes antes de la entrega.</t>
  </si>
  <si>
    <t xml:space="preserve">Resumen de hallazgos — PFI (revisión)</t>
  </si>
  <si>
    <t xml:space="preserve">Total</t>
  </si>
  <si>
    <t xml:space="preserve">Corregidos</t>
  </si>
  <si>
    <t xml:space="preserve">Pendientes</t>
  </si>
  <si>
    <t xml:space="preserve">Nota: páginas según el índice del propio documento (Word), que está parcialmente desactualizado (±1–2 págs.). Anexo D contrastado con el cap. 8; referencias verificadas por búsqueda web (ver última fila de Referencias). No se inspeccionó el contenido de imágenes.</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</si>
</sst>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9"/>
      <name val="Arial"/>
      <family val="0"/>
      <charset val="1"/>
    </font>
    <font>
      <b val="true"/>
      <sz val="9"/>
      <name val="Arial"/>
      <family val="0"/>
      <charset val="1"/>
    </font>
    <font>
      <b val="true"/>
      <sz val="12"/>
      <name val="Arial"/>
      <family val="0"/>
      <charset val="1"/>
    </font>
    <font>
      <b val="true"/>
      <sz val="11"/>
      <color rgb="FFFFFFFF"/>
      <name val="Arial"/>
      <family val="0"/>
      <charset val="1"/>
    </font>
    <font>
      <sz val="10"/>
      <name val="Arial"/>
      <family val="0"/>
      <charset val="1"/>
    </font>
    <font>
      <b val="true"/>
      <sz val="10"/>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F8CBAD"/>
        <bgColor rgb="FFFFE699"/>
      </patternFill>
    </fill>
    <fill>
      <patternFill patternType="solid">
        <fgColor rgb="FFFFE699"/>
        <bgColor rgb="FFF8CBAD"/>
      </patternFill>
    </fill>
    <fill>
      <patternFill patternType="solid">
        <fgColor rgb="FFC6E0B4"/>
        <bgColor rgb="FFBFBFB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top" textRotation="0" wrapText="true" indent="0" shrinkToFit="false"/>
      <protection locked="true" hidden="false"/>
    </xf>
    <xf numFmtId="164" fontId="6" fillId="3" borderId="1" xfId="0" applyFont="true" applyBorder="true" applyAlignment="true" applyProtection="false">
      <alignment horizontal="center" vertical="top" textRotation="0" wrapText="tru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4" fontId="6" fillId="4" borderId="1" xfId="0" applyFont="true" applyBorder="true" applyAlignment="true" applyProtection="false">
      <alignment horizontal="center" vertical="top" textRotation="0" wrapText="true" indent="0" shrinkToFit="false"/>
      <protection locked="true" hidden="false"/>
    </xf>
    <xf numFmtId="164" fontId="6" fillId="5" borderId="1" xfId="0" applyFont="true" applyBorder="true" applyAlignment="true" applyProtection="false">
      <alignment horizontal="center"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center"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C6E0B4"/>
          <bgColor rgb="FF000000"/>
        </patternFill>
      </fill>
    </dxf>
    <dxf>
      <fill>
        <patternFill patternType="solid">
          <fgColor rgb="FFF8CBAD"/>
          <bgColor rgb="FF000000"/>
        </patternFill>
      </fill>
    </dxf>
    <dxf>
      <fill>
        <patternFill patternType="solid">
          <fgColor rgb="FFFFE699"/>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0"/>
    <col collapsed="false" customWidth="true" hidden="false" outlineLevel="0" max="3" min="3" style="0" width="13"/>
    <col collapsed="false" customWidth="true" hidden="false" outlineLevel="0" max="4" min="4" style="0" width="34"/>
    <col collapsed="false" customWidth="true" hidden="false" outlineLevel="0" max="5" min="5" style="0" width="80"/>
    <col collapsed="false" customWidth="true" hidden="false" outlineLevel="0" max="6" min="6" style="0" width="48"/>
    <col collapsed="false" customWidth="true" hidden="false" outlineLevel="0" max="7" min="7" style="0" width="18"/>
    <col collapsed="false" customWidth="true" hidden="false" outlineLevel="0" max="8" min="8" style="0" width="12"/>
  </cols>
  <sheetData>
    <row r="1" customFormat="false" ht="25.5" hidden="false" customHeight="true" outlineLevel="0" collapsed="false">
      <c r="A1" s="1" t="s">
        <v>0</v>
      </c>
      <c r="B1" s="1" t="s">
        <v>1</v>
      </c>
      <c r="C1" s="1" t="s">
        <v>2</v>
      </c>
      <c r="D1" s="1" t="s">
        <v>3</v>
      </c>
      <c r="E1" s="1" t="s">
        <v>4</v>
      </c>
      <c r="F1" s="1" t="s">
        <v>5</v>
      </c>
      <c r="G1" s="1" t="s">
        <v>6</v>
      </c>
      <c r="H1" s="1" t="s">
        <v>7</v>
      </c>
    </row>
    <row r="2" customFormat="false" ht="22.35" hidden="false" customHeight="false" outlineLevel="0" collapsed="false">
      <c r="A2" s="2" t="n">
        <v>1</v>
      </c>
      <c r="B2" s="3" t="s">
        <v>8</v>
      </c>
      <c r="C2" s="2" t="s">
        <v>9</v>
      </c>
      <c r="D2" s="4" t="s">
        <v>10</v>
      </c>
      <c r="E2" s="4" t="s">
        <v>11</v>
      </c>
      <c r="F2" s="4" t="s">
        <v>12</v>
      </c>
      <c r="G2" s="2" t="s">
        <v>13</v>
      </c>
      <c r="H2" s="2" t="s">
        <v>14</v>
      </c>
    </row>
    <row r="3" customFormat="false" ht="22.35" hidden="false" customHeight="false" outlineLevel="0" collapsed="false">
      <c r="A3" s="2" t="n">
        <v>2</v>
      </c>
      <c r="B3" s="3" t="s">
        <v>8</v>
      </c>
      <c r="C3" s="2" t="s">
        <v>9</v>
      </c>
      <c r="D3" s="4" t="s">
        <v>15</v>
      </c>
      <c r="E3" s="4" t="s">
        <v>16</v>
      </c>
      <c r="F3" s="4" t="s">
        <v>17</v>
      </c>
      <c r="G3" s="2" t="s">
        <v>13</v>
      </c>
      <c r="H3" s="2" t="s">
        <v>14</v>
      </c>
    </row>
    <row r="4" customFormat="false" ht="22.35" hidden="false" customHeight="false" outlineLevel="0" collapsed="false">
      <c r="A4" s="2" t="n">
        <v>3</v>
      </c>
      <c r="B4" s="3" t="s">
        <v>8</v>
      </c>
      <c r="C4" s="2" t="s">
        <v>18</v>
      </c>
      <c r="D4" s="4" t="s">
        <v>19</v>
      </c>
      <c r="E4" s="4" t="s">
        <v>20</v>
      </c>
      <c r="F4" s="4" t="s">
        <v>21</v>
      </c>
      <c r="G4" s="2" t="s">
        <v>13</v>
      </c>
      <c r="H4" s="2" t="s">
        <v>14</v>
      </c>
    </row>
    <row r="5" customFormat="false" ht="43.25" hidden="false" customHeight="false" outlineLevel="0" collapsed="false">
      <c r="A5" s="2" t="n">
        <v>4</v>
      </c>
      <c r="B5" s="3" t="s">
        <v>8</v>
      </c>
      <c r="C5" s="2" t="s">
        <v>22</v>
      </c>
      <c r="D5" s="4" t="s">
        <v>23</v>
      </c>
      <c r="E5" s="4" t="s">
        <v>24</v>
      </c>
      <c r="F5" s="4" t="s">
        <v>25</v>
      </c>
      <c r="G5" s="2" t="s">
        <v>13</v>
      </c>
      <c r="H5" s="2" t="s">
        <v>14</v>
      </c>
    </row>
    <row r="6" customFormat="false" ht="32.8" hidden="false" customHeight="false" outlineLevel="0" collapsed="false">
      <c r="A6" s="2" t="n">
        <v>5</v>
      </c>
      <c r="B6" s="3" t="s">
        <v>8</v>
      </c>
      <c r="C6" s="2" t="s">
        <v>22</v>
      </c>
      <c r="D6" s="4" t="s">
        <v>26</v>
      </c>
      <c r="E6" s="4" t="s">
        <v>27</v>
      </c>
      <c r="F6" s="4" t="s">
        <v>28</v>
      </c>
      <c r="G6" s="2" t="s">
        <v>13</v>
      </c>
      <c r="H6" s="2" t="s">
        <v>14</v>
      </c>
    </row>
    <row r="7" customFormat="false" ht="53.7" hidden="false" customHeight="false" outlineLevel="0" collapsed="false">
      <c r="A7" s="2" t="n">
        <v>6</v>
      </c>
      <c r="B7" s="3" t="s">
        <v>8</v>
      </c>
      <c r="C7" s="2" t="s">
        <v>22</v>
      </c>
      <c r="D7" s="4" t="s">
        <v>29</v>
      </c>
      <c r="E7" s="4" t="s">
        <v>30</v>
      </c>
      <c r="F7" s="4" t="s">
        <v>31</v>
      </c>
      <c r="G7" s="2" t="s">
        <v>13</v>
      </c>
      <c r="H7" s="2" t="s">
        <v>14</v>
      </c>
    </row>
    <row r="8" customFormat="false" ht="32.8" hidden="false" customHeight="false" outlineLevel="0" collapsed="false">
      <c r="A8" s="2" t="n">
        <v>7</v>
      </c>
      <c r="B8" s="3" t="s">
        <v>8</v>
      </c>
      <c r="C8" s="2" t="s">
        <v>22</v>
      </c>
      <c r="D8" s="4" t="s">
        <v>32</v>
      </c>
      <c r="E8" s="4" t="s">
        <v>33</v>
      </c>
      <c r="F8" s="4" t="s">
        <v>34</v>
      </c>
      <c r="G8" s="2" t="s">
        <v>13</v>
      </c>
      <c r="H8" s="2" t="s">
        <v>14</v>
      </c>
    </row>
    <row r="9" customFormat="false" ht="43.25" hidden="false" customHeight="false" outlineLevel="0" collapsed="false">
      <c r="A9" s="2" t="n">
        <v>8</v>
      </c>
      <c r="B9" s="3" t="s">
        <v>8</v>
      </c>
      <c r="C9" s="2" t="s">
        <v>22</v>
      </c>
      <c r="D9" s="4" t="s">
        <v>35</v>
      </c>
      <c r="E9" s="4" t="s">
        <v>36</v>
      </c>
      <c r="F9" s="4" t="s">
        <v>37</v>
      </c>
      <c r="G9" s="2" t="s">
        <v>13</v>
      </c>
      <c r="H9" s="2" t="s">
        <v>14</v>
      </c>
    </row>
    <row r="10" customFormat="false" ht="32.8" hidden="false" customHeight="false" outlineLevel="0" collapsed="false">
      <c r="A10" s="2" t="n">
        <v>9</v>
      </c>
      <c r="B10" s="3" t="s">
        <v>8</v>
      </c>
      <c r="C10" s="2" t="s">
        <v>22</v>
      </c>
      <c r="D10" s="4" t="s">
        <v>38</v>
      </c>
      <c r="E10" s="4" t="s">
        <v>39</v>
      </c>
      <c r="F10" s="4" t="s">
        <v>40</v>
      </c>
      <c r="G10" s="2" t="s">
        <v>13</v>
      </c>
      <c r="H10" s="2" t="s">
        <v>14</v>
      </c>
    </row>
    <row r="11" customFormat="false" ht="43.25" hidden="false" customHeight="false" outlineLevel="0" collapsed="false">
      <c r="A11" s="2" t="n">
        <v>10</v>
      </c>
      <c r="B11" s="3" t="s">
        <v>8</v>
      </c>
      <c r="C11" s="2" t="s">
        <v>22</v>
      </c>
      <c r="D11" s="4" t="s">
        <v>41</v>
      </c>
      <c r="E11" s="4" t="s">
        <v>42</v>
      </c>
      <c r="F11" s="4" t="s">
        <v>43</v>
      </c>
      <c r="G11" s="2" t="s">
        <v>13</v>
      </c>
      <c r="H11" s="2" t="s">
        <v>14</v>
      </c>
    </row>
    <row r="12" customFormat="false" ht="32.8" hidden="false" customHeight="false" outlineLevel="0" collapsed="false">
      <c r="A12" s="2" t="n">
        <v>11</v>
      </c>
      <c r="B12" s="3" t="s">
        <v>8</v>
      </c>
      <c r="C12" s="2" t="s">
        <v>22</v>
      </c>
      <c r="D12" s="4" t="s">
        <v>44</v>
      </c>
      <c r="E12" s="4" t="s">
        <v>45</v>
      </c>
      <c r="F12" s="4" t="s">
        <v>46</v>
      </c>
      <c r="G12" s="2" t="s">
        <v>13</v>
      </c>
      <c r="H12" s="2" t="s">
        <v>14</v>
      </c>
    </row>
    <row r="13" customFormat="false" ht="22.35" hidden="false" customHeight="false" outlineLevel="0" collapsed="false">
      <c r="A13" s="2" t="n">
        <v>12</v>
      </c>
      <c r="B13" s="3" t="s">
        <v>8</v>
      </c>
      <c r="C13" s="2" t="s">
        <v>22</v>
      </c>
      <c r="D13" s="4" t="s">
        <v>47</v>
      </c>
      <c r="E13" s="4" t="s">
        <v>48</v>
      </c>
      <c r="F13" s="4" t="s">
        <v>49</v>
      </c>
      <c r="G13" s="2" t="s">
        <v>13</v>
      </c>
      <c r="H13" s="2" t="s">
        <v>14</v>
      </c>
    </row>
    <row r="14" customFormat="false" ht="32.8" hidden="false" customHeight="false" outlineLevel="0" collapsed="false">
      <c r="A14" s="2" t="n">
        <v>13</v>
      </c>
      <c r="B14" s="3" t="s">
        <v>8</v>
      </c>
      <c r="C14" s="2" t="s">
        <v>9</v>
      </c>
      <c r="D14" s="4" t="s">
        <v>50</v>
      </c>
      <c r="E14" s="4" t="s">
        <v>51</v>
      </c>
      <c r="F14" s="4" t="s">
        <v>52</v>
      </c>
      <c r="G14" s="2" t="s">
        <v>13</v>
      </c>
      <c r="H14" s="2" t="s">
        <v>14</v>
      </c>
    </row>
    <row r="15" customFormat="false" ht="32.8" hidden="false" customHeight="false" outlineLevel="0" collapsed="false">
      <c r="A15" s="2" t="n">
        <v>14</v>
      </c>
      <c r="B15" s="3" t="s">
        <v>8</v>
      </c>
      <c r="C15" s="2" t="s">
        <v>9</v>
      </c>
      <c r="D15" s="4" t="s">
        <v>53</v>
      </c>
      <c r="E15" s="4" t="s">
        <v>54</v>
      </c>
      <c r="F15" s="4" t="s">
        <v>55</v>
      </c>
      <c r="G15" s="2" t="s">
        <v>13</v>
      </c>
      <c r="H15" s="2" t="s">
        <v>14</v>
      </c>
    </row>
    <row r="16" customFormat="false" ht="22.35" hidden="false" customHeight="false" outlineLevel="0" collapsed="false">
      <c r="A16" s="2" t="n">
        <v>15</v>
      </c>
      <c r="B16" s="3" t="s">
        <v>8</v>
      </c>
      <c r="C16" s="2" t="s">
        <v>9</v>
      </c>
      <c r="D16" s="4" t="s">
        <v>56</v>
      </c>
      <c r="E16" s="4" t="s">
        <v>57</v>
      </c>
      <c r="F16" s="4" t="s">
        <v>58</v>
      </c>
      <c r="G16" s="2" t="s">
        <v>13</v>
      </c>
      <c r="H16" s="2" t="s">
        <v>14</v>
      </c>
    </row>
    <row r="17" customFormat="false" ht="22.35" hidden="false" customHeight="false" outlineLevel="0" collapsed="false">
      <c r="A17" s="2" t="n">
        <v>16</v>
      </c>
      <c r="B17" s="5" t="s">
        <v>59</v>
      </c>
      <c r="C17" s="2" t="s">
        <v>60</v>
      </c>
      <c r="D17" s="4" t="s">
        <v>61</v>
      </c>
      <c r="E17" s="4" t="s">
        <v>62</v>
      </c>
      <c r="F17" s="4" t="s">
        <v>63</v>
      </c>
      <c r="G17" s="2" t="s">
        <v>13</v>
      </c>
      <c r="H17" s="2" t="s">
        <v>14</v>
      </c>
    </row>
    <row r="18" customFormat="false" ht="22.35" hidden="false" customHeight="false" outlineLevel="0" collapsed="false">
      <c r="A18" s="2" t="n">
        <v>17</v>
      </c>
      <c r="B18" s="5" t="s">
        <v>59</v>
      </c>
      <c r="C18" s="2" t="s">
        <v>60</v>
      </c>
      <c r="D18" s="4" t="s">
        <v>64</v>
      </c>
      <c r="E18" s="4" t="s">
        <v>65</v>
      </c>
      <c r="F18" s="4" t="s">
        <v>66</v>
      </c>
      <c r="G18" s="2" t="s">
        <v>13</v>
      </c>
      <c r="H18" s="2" t="s">
        <v>14</v>
      </c>
    </row>
    <row r="19" customFormat="false" ht="22.35" hidden="false" customHeight="false" outlineLevel="0" collapsed="false">
      <c r="A19" s="2" t="n">
        <v>18</v>
      </c>
      <c r="B19" s="5" t="s">
        <v>59</v>
      </c>
      <c r="C19" s="2" t="s">
        <v>60</v>
      </c>
      <c r="D19" s="4" t="s">
        <v>67</v>
      </c>
      <c r="E19" s="4" t="s">
        <v>68</v>
      </c>
      <c r="F19" s="4" t="s">
        <v>69</v>
      </c>
      <c r="G19" s="2" t="s">
        <v>13</v>
      </c>
      <c r="H19" s="2" t="s">
        <v>14</v>
      </c>
    </row>
    <row r="20" customFormat="false" ht="22.35" hidden="false" customHeight="false" outlineLevel="0" collapsed="false">
      <c r="A20" s="2" t="n">
        <v>19</v>
      </c>
      <c r="B20" s="5" t="s">
        <v>59</v>
      </c>
      <c r="C20" s="2" t="s">
        <v>60</v>
      </c>
      <c r="D20" s="4" t="s">
        <v>70</v>
      </c>
      <c r="E20" s="4" t="s">
        <v>71</v>
      </c>
      <c r="F20" s="4" t="s">
        <v>72</v>
      </c>
      <c r="G20" s="2" t="s">
        <v>13</v>
      </c>
      <c r="H20" s="2" t="s">
        <v>14</v>
      </c>
    </row>
    <row r="21" customFormat="false" ht="15" hidden="false" customHeight="false" outlineLevel="0" collapsed="false">
      <c r="A21" s="2" t="n">
        <v>20</v>
      </c>
      <c r="B21" s="5" t="s">
        <v>59</v>
      </c>
      <c r="C21" s="2" t="s">
        <v>60</v>
      </c>
      <c r="D21" s="4" t="s">
        <v>73</v>
      </c>
      <c r="E21" s="4" t="s">
        <v>74</v>
      </c>
      <c r="F21" s="4" t="s">
        <v>75</v>
      </c>
      <c r="G21" s="2" t="s">
        <v>13</v>
      </c>
      <c r="H21" s="2" t="s">
        <v>14</v>
      </c>
    </row>
    <row r="22" customFormat="false" ht="22.35" hidden="false" customHeight="false" outlineLevel="0" collapsed="false">
      <c r="A22" s="2" t="n">
        <v>21</v>
      </c>
      <c r="B22" s="5" t="s">
        <v>59</v>
      </c>
      <c r="C22" s="2" t="s">
        <v>60</v>
      </c>
      <c r="D22" s="4" t="s">
        <v>76</v>
      </c>
      <c r="E22" s="4" t="s">
        <v>77</v>
      </c>
      <c r="F22" s="4" t="s">
        <v>78</v>
      </c>
      <c r="G22" s="2" t="s">
        <v>13</v>
      </c>
      <c r="H22" s="2" t="s">
        <v>14</v>
      </c>
    </row>
    <row r="23" customFormat="false" ht="22.35" hidden="false" customHeight="false" outlineLevel="0" collapsed="false">
      <c r="A23" s="2" t="n">
        <v>22</v>
      </c>
      <c r="B23" s="5" t="s">
        <v>59</v>
      </c>
      <c r="C23" s="2" t="s">
        <v>60</v>
      </c>
      <c r="D23" s="4" t="s">
        <v>79</v>
      </c>
      <c r="E23" s="4" t="s">
        <v>80</v>
      </c>
      <c r="F23" s="4" t="s">
        <v>81</v>
      </c>
      <c r="G23" s="2" t="s">
        <v>13</v>
      </c>
      <c r="H23" s="2" t="s">
        <v>14</v>
      </c>
    </row>
    <row r="24" customFormat="false" ht="22.35" hidden="false" customHeight="false" outlineLevel="0" collapsed="false">
      <c r="A24" s="2" t="n">
        <v>23</v>
      </c>
      <c r="B24" s="5" t="s">
        <v>59</v>
      </c>
      <c r="C24" s="2" t="s">
        <v>60</v>
      </c>
      <c r="D24" s="4" t="s">
        <v>82</v>
      </c>
      <c r="E24" s="4" t="s">
        <v>83</v>
      </c>
      <c r="F24" s="4" t="s">
        <v>84</v>
      </c>
      <c r="G24" s="2" t="s">
        <v>13</v>
      </c>
      <c r="H24" s="2" t="s">
        <v>14</v>
      </c>
    </row>
    <row r="25" customFormat="false" ht="22.35" hidden="false" customHeight="false" outlineLevel="0" collapsed="false">
      <c r="A25" s="2" t="n">
        <v>24</v>
      </c>
      <c r="B25" s="5" t="s">
        <v>59</v>
      </c>
      <c r="C25" s="2" t="s">
        <v>60</v>
      </c>
      <c r="D25" s="4" t="s">
        <v>85</v>
      </c>
      <c r="E25" s="4" t="s">
        <v>86</v>
      </c>
      <c r="F25" s="4" t="s">
        <v>87</v>
      </c>
      <c r="G25" s="2" t="s">
        <v>13</v>
      </c>
      <c r="H25" s="2" t="s">
        <v>14</v>
      </c>
    </row>
    <row r="26" customFormat="false" ht="22.35" hidden="false" customHeight="false" outlineLevel="0" collapsed="false">
      <c r="A26" s="2" t="n">
        <v>25</v>
      </c>
      <c r="B26" s="5" t="s">
        <v>59</v>
      </c>
      <c r="C26" s="2" t="s">
        <v>60</v>
      </c>
      <c r="D26" s="4" t="s">
        <v>88</v>
      </c>
      <c r="E26" s="4" t="s">
        <v>89</v>
      </c>
      <c r="F26" s="4" t="s">
        <v>90</v>
      </c>
      <c r="G26" s="2" t="s">
        <v>13</v>
      </c>
      <c r="H26" s="2" t="s">
        <v>14</v>
      </c>
    </row>
    <row r="27" customFormat="false" ht="43.25" hidden="false" customHeight="false" outlineLevel="0" collapsed="false">
      <c r="A27" s="2" t="n">
        <v>26</v>
      </c>
      <c r="B27" s="5" t="s">
        <v>59</v>
      </c>
      <c r="C27" s="2" t="s">
        <v>22</v>
      </c>
      <c r="D27" s="4" t="s">
        <v>91</v>
      </c>
      <c r="E27" s="4" t="s">
        <v>92</v>
      </c>
      <c r="F27" s="4" t="s">
        <v>93</v>
      </c>
      <c r="G27" s="2" t="s">
        <v>13</v>
      </c>
      <c r="H27" s="2" t="s">
        <v>14</v>
      </c>
    </row>
    <row r="28" customFormat="false" ht="22.35" hidden="false" customHeight="false" outlineLevel="0" collapsed="false">
      <c r="A28" s="2" t="n">
        <v>27</v>
      </c>
      <c r="B28" s="5" t="s">
        <v>59</v>
      </c>
      <c r="C28" s="2" t="s">
        <v>22</v>
      </c>
      <c r="D28" s="4" t="s">
        <v>94</v>
      </c>
      <c r="E28" s="4" t="s">
        <v>95</v>
      </c>
      <c r="F28" s="4" t="s">
        <v>96</v>
      </c>
      <c r="G28" s="2" t="s">
        <v>13</v>
      </c>
      <c r="H28" s="2" t="s">
        <v>14</v>
      </c>
    </row>
    <row r="29" customFormat="false" ht="22.35" hidden="false" customHeight="false" outlineLevel="0" collapsed="false">
      <c r="A29" s="2" t="n">
        <v>28</v>
      </c>
      <c r="B29" s="5" t="s">
        <v>59</v>
      </c>
      <c r="C29" s="2" t="s">
        <v>22</v>
      </c>
      <c r="D29" s="4" t="s">
        <v>97</v>
      </c>
      <c r="E29" s="4" t="s">
        <v>98</v>
      </c>
      <c r="F29" s="4" t="s">
        <v>99</v>
      </c>
      <c r="G29" s="2" t="s">
        <v>13</v>
      </c>
      <c r="H29" s="2" t="s">
        <v>14</v>
      </c>
    </row>
    <row r="30" customFormat="false" ht="22.35" hidden="false" customHeight="false" outlineLevel="0" collapsed="false">
      <c r="A30" s="2" t="n">
        <v>29</v>
      </c>
      <c r="B30" s="5" t="s">
        <v>59</v>
      </c>
      <c r="C30" s="2" t="s">
        <v>22</v>
      </c>
      <c r="D30" s="4" t="s">
        <v>100</v>
      </c>
      <c r="E30" s="4" t="s">
        <v>101</v>
      </c>
      <c r="F30" s="4" t="s">
        <v>102</v>
      </c>
      <c r="G30" s="2" t="s">
        <v>13</v>
      </c>
      <c r="H30" s="2" t="s">
        <v>14</v>
      </c>
    </row>
    <row r="31" customFormat="false" ht="22.35" hidden="false" customHeight="false" outlineLevel="0" collapsed="false">
      <c r="A31" s="2" t="n">
        <v>30</v>
      </c>
      <c r="B31" s="5" t="s">
        <v>59</v>
      </c>
      <c r="C31" s="2" t="s">
        <v>22</v>
      </c>
      <c r="D31" s="4" t="s">
        <v>103</v>
      </c>
      <c r="E31" s="4" t="s">
        <v>104</v>
      </c>
      <c r="F31" s="4" t="s">
        <v>105</v>
      </c>
      <c r="G31" s="2" t="s">
        <v>13</v>
      </c>
      <c r="H31" s="2" t="s">
        <v>14</v>
      </c>
    </row>
    <row r="32" customFormat="false" ht="22.35" hidden="false" customHeight="false" outlineLevel="0" collapsed="false">
      <c r="A32" s="2" t="n">
        <v>31</v>
      </c>
      <c r="B32" s="5" t="s">
        <v>59</v>
      </c>
      <c r="C32" s="2" t="s">
        <v>22</v>
      </c>
      <c r="D32" s="4" t="s">
        <v>106</v>
      </c>
      <c r="E32" s="4" t="s">
        <v>107</v>
      </c>
      <c r="F32" s="4" t="s">
        <v>108</v>
      </c>
      <c r="G32" s="2" t="s">
        <v>13</v>
      </c>
      <c r="H32" s="2" t="s">
        <v>14</v>
      </c>
    </row>
    <row r="33" customFormat="false" ht="32.8" hidden="false" customHeight="false" outlineLevel="0" collapsed="false">
      <c r="A33" s="2" t="n">
        <v>32</v>
      </c>
      <c r="B33" s="5" t="s">
        <v>59</v>
      </c>
      <c r="C33" s="2" t="s">
        <v>22</v>
      </c>
      <c r="D33" s="4" t="s">
        <v>109</v>
      </c>
      <c r="E33" s="4" t="s">
        <v>110</v>
      </c>
      <c r="F33" s="4" t="s">
        <v>111</v>
      </c>
      <c r="G33" s="2" t="s">
        <v>13</v>
      </c>
      <c r="H33" s="2" t="s">
        <v>14</v>
      </c>
    </row>
    <row r="34" customFormat="false" ht="43.25" hidden="false" customHeight="false" outlineLevel="0" collapsed="false">
      <c r="A34" s="2" t="n">
        <v>33</v>
      </c>
      <c r="B34" s="5" t="s">
        <v>59</v>
      </c>
      <c r="C34" s="2" t="s">
        <v>22</v>
      </c>
      <c r="D34" s="4" t="s">
        <v>112</v>
      </c>
      <c r="E34" s="4" t="s">
        <v>113</v>
      </c>
      <c r="F34" s="4" t="s">
        <v>114</v>
      </c>
      <c r="G34" s="2" t="s">
        <v>13</v>
      </c>
      <c r="H34" s="2" t="s">
        <v>14</v>
      </c>
    </row>
    <row r="35" customFormat="false" ht="32.8" hidden="false" customHeight="false" outlineLevel="0" collapsed="false">
      <c r="A35" s="2" t="n">
        <v>34</v>
      </c>
      <c r="B35" s="5" t="s">
        <v>59</v>
      </c>
      <c r="C35" s="2" t="s">
        <v>22</v>
      </c>
      <c r="D35" s="4" t="s">
        <v>115</v>
      </c>
      <c r="E35" s="4" t="s">
        <v>116</v>
      </c>
      <c r="F35" s="4" t="s">
        <v>117</v>
      </c>
      <c r="G35" s="2" t="s">
        <v>13</v>
      </c>
      <c r="H35" s="2" t="s">
        <v>14</v>
      </c>
    </row>
    <row r="36" customFormat="false" ht="43.25" hidden="false" customHeight="false" outlineLevel="0" collapsed="false">
      <c r="A36" s="2" t="n">
        <v>35</v>
      </c>
      <c r="B36" s="5" t="s">
        <v>59</v>
      </c>
      <c r="C36" s="2" t="s">
        <v>22</v>
      </c>
      <c r="D36" s="4" t="s">
        <v>118</v>
      </c>
      <c r="E36" s="4" t="s">
        <v>119</v>
      </c>
      <c r="F36" s="4" t="s">
        <v>120</v>
      </c>
      <c r="G36" s="2" t="s">
        <v>13</v>
      </c>
      <c r="H36" s="2" t="s">
        <v>14</v>
      </c>
    </row>
    <row r="37" customFormat="false" ht="22.35" hidden="false" customHeight="false" outlineLevel="0" collapsed="false">
      <c r="A37" s="2" t="n">
        <v>36</v>
      </c>
      <c r="B37" s="5" t="s">
        <v>59</v>
      </c>
      <c r="C37" s="2" t="s">
        <v>22</v>
      </c>
      <c r="D37" s="4" t="s">
        <v>121</v>
      </c>
      <c r="E37" s="4" t="s">
        <v>122</v>
      </c>
      <c r="F37" s="4" t="s">
        <v>123</v>
      </c>
      <c r="G37" s="2" t="s">
        <v>13</v>
      </c>
      <c r="H37" s="2" t="s">
        <v>14</v>
      </c>
    </row>
    <row r="38" customFormat="false" ht="22.35" hidden="false" customHeight="false" outlineLevel="0" collapsed="false">
      <c r="A38" s="2" t="n">
        <v>37</v>
      </c>
      <c r="B38" s="5" t="s">
        <v>59</v>
      </c>
      <c r="C38" s="2" t="s">
        <v>18</v>
      </c>
      <c r="D38" s="4" t="s">
        <v>124</v>
      </c>
      <c r="E38" s="4" t="s">
        <v>125</v>
      </c>
      <c r="F38" s="4" t="s">
        <v>126</v>
      </c>
      <c r="G38" s="2" t="s">
        <v>13</v>
      </c>
      <c r="H38" s="2" t="s">
        <v>14</v>
      </c>
    </row>
    <row r="39" customFormat="false" ht="43.25" hidden="false" customHeight="false" outlineLevel="0" collapsed="false">
      <c r="A39" s="2" t="n">
        <v>38</v>
      </c>
      <c r="B39" s="5" t="s">
        <v>59</v>
      </c>
      <c r="C39" s="2" t="s">
        <v>18</v>
      </c>
      <c r="D39" s="4" t="s">
        <v>127</v>
      </c>
      <c r="E39" s="4" t="s">
        <v>128</v>
      </c>
      <c r="F39" s="4" t="s">
        <v>129</v>
      </c>
      <c r="G39" s="2" t="s">
        <v>13</v>
      </c>
      <c r="H39" s="2" t="s">
        <v>14</v>
      </c>
    </row>
    <row r="40" customFormat="false" ht="43.25" hidden="false" customHeight="false" outlineLevel="0" collapsed="false">
      <c r="A40" s="2" t="n">
        <v>39</v>
      </c>
      <c r="B40" s="5" t="s">
        <v>59</v>
      </c>
      <c r="C40" s="2" t="s">
        <v>18</v>
      </c>
      <c r="D40" s="4" t="s">
        <v>130</v>
      </c>
      <c r="E40" s="4" t="s">
        <v>131</v>
      </c>
      <c r="F40" s="4" t="s">
        <v>132</v>
      </c>
      <c r="G40" s="2" t="s">
        <v>13</v>
      </c>
      <c r="H40" s="2" t="s">
        <v>14</v>
      </c>
    </row>
    <row r="41" customFormat="false" ht="32.8" hidden="false" customHeight="false" outlineLevel="0" collapsed="false">
      <c r="A41" s="2" t="n">
        <v>40</v>
      </c>
      <c r="B41" s="5" t="s">
        <v>59</v>
      </c>
      <c r="C41" s="2" t="s">
        <v>18</v>
      </c>
      <c r="D41" s="4" t="s">
        <v>133</v>
      </c>
      <c r="E41" s="4" t="s">
        <v>134</v>
      </c>
      <c r="F41" s="4" t="s">
        <v>135</v>
      </c>
      <c r="G41" s="2" t="s">
        <v>13</v>
      </c>
      <c r="H41" s="2" t="s">
        <v>14</v>
      </c>
    </row>
    <row r="42" customFormat="false" ht="32.8" hidden="false" customHeight="false" outlineLevel="0" collapsed="false">
      <c r="A42" s="2" t="n">
        <v>41</v>
      </c>
      <c r="B42" s="5" t="s">
        <v>59</v>
      </c>
      <c r="C42" s="2" t="s">
        <v>18</v>
      </c>
      <c r="D42" s="4" t="s">
        <v>136</v>
      </c>
      <c r="E42" s="4" t="s">
        <v>137</v>
      </c>
      <c r="F42" s="4" t="s">
        <v>138</v>
      </c>
      <c r="G42" s="2" t="s">
        <v>13</v>
      </c>
      <c r="H42" s="2" t="s">
        <v>14</v>
      </c>
    </row>
    <row r="43" customFormat="false" ht="32.8" hidden="false" customHeight="false" outlineLevel="0" collapsed="false">
      <c r="A43" s="2" t="n">
        <v>42</v>
      </c>
      <c r="B43" s="5" t="s">
        <v>59</v>
      </c>
      <c r="C43" s="2" t="s">
        <v>18</v>
      </c>
      <c r="D43" s="4" t="s">
        <v>139</v>
      </c>
      <c r="E43" s="4" t="s">
        <v>140</v>
      </c>
      <c r="F43" s="4" t="s">
        <v>141</v>
      </c>
      <c r="G43" s="2" t="s">
        <v>13</v>
      </c>
      <c r="H43" s="2" t="s">
        <v>14</v>
      </c>
    </row>
    <row r="44" customFormat="false" ht="15" hidden="false" customHeight="false" outlineLevel="0" collapsed="false">
      <c r="A44" s="2" t="n">
        <v>43</v>
      </c>
      <c r="B44" s="5" t="s">
        <v>59</v>
      </c>
      <c r="C44" s="2" t="s">
        <v>9</v>
      </c>
      <c r="D44" s="4" t="s">
        <v>142</v>
      </c>
      <c r="E44" s="4" t="s">
        <v>143</v>
      </c>
      <c r="F44" s="4" t="s">
        <v>144</v>
      </c>
      <c r="G44" s="2" t="s">
        <v>13</v>
      </c>
      <c r="H44" s="2" t="s">
        <v>14</v>
      </c>
    </row>
    <row r="45" customFormat="false" ht="32.8" hidden="false" customHeight="false" outlineLevel="0" collapsed="false">
      <c r="A45" s="2" t="n">
        <v>44</v>
      </c>
      <c r="B45" s="5" t="s">
        <v>59</v>
      </c>
      <c r="C45" s="2" t="s">
        <v>9</v>
      </c>
      <c r="D45" s="4" t="s">
        <v>145</v>
      </c>
      <c r="E45" s="4" t="s">
        <v>146</v>
      </c>
      <c r="F45" s="4" t="s">
        <v>147</v>
      </c>
      <c r="G45" s="2" t="s">
        <v>13</v>
      </c>
      <c r="H45" s="2" t="s">
        <v>14</v>
      </c>
    </row>
    <row r="46" customFormat="false" ht="32.8" hidden="false" customHeight="false" outlineLevel="0" collapsed="false">
      <c r="A46" s="2" t="n">
        <v>45</v>
      </c>
      <c r="B46" s="5" t="s">
        <v>59</v>
      </c>
      <c r="C46" s="2" t="s">
        <v>9</v>
      </c>
      <c r="D46" s="4" t="s">
        <v>148</v>
      </c>
      <c r="E46" s="4" t="s">
        <v>149</v>
      </c>
      <c r="F46" s="4" t="s">
        <v>150</v>
      </c>
      <c r="G46" s="2" t="s">
        <v>13</v>
      </c>
      <c r="H46" s="2" t="s">
        <v>14</v>
      </c>
    </row>
    <row r="47" customFormat="false" ht="22.35" hidden="false" customHeight="false" outlineLevel="0" collapsed="false">
      <c r="A47" s="2" t="n">
        <v>46</v>
      </c>
      <c r="B47" s="5" t="s">
        <v>59</v>
      </c>
      <c r="C47" s="2" t="s">
        <v>9</v>
      </c>
      <c r="D47" s="4" t="s">
        <v>151</v>
      </c>
      <c r="E47" s="4" t="s">
        <v>152</v>
      </c>
      <c r="F47" s="4" t="s">
        <v>153</v>
      </c>
      <c r="G47" s="2" t="s">
        <v>13</v>
      </c>
      <c r="H47" s="2" t="s">
        <v>14</v>
      </c>
    </row>
    <row r="48" customFormat="false" ht="22.35" hidden="false" customHeight="false" outlineLevel="0" collapsed="false">
      <c r="A48" s="2" t="n">
        <v>47</v>
      </c>
      <c r="B48" s="5" t="s">
        <v>59</v>
      </c>
      <c r="C48" s="2" t="s">
        <v>9</v>
      </c>
      <c r="D48" s="4" t="s">
        <v>154</v>
      </c>
      <c r="E48" s="4" t="s">
        <v>155</v>
      </c>
      <c r="F48" s="4" t="s">
        <v>156</v>
      </c>
      <c r="G48" s="2" t="s">
        <v>13</v>
      </c>
      <c r="H48" s="2" t="s">
        <v>14</v>
      </c>
    </row>
    <row r="49" customFormat="false" ht="32.8" hidden="false" customHeight="false" outlineLevel="0" collapsed="false">
      <c r="A49" s="2" t="n">
        <v>48</v>
      </c>
      <c r="B49" s="6" t="s">
        <v>157</v>
      </c>
      <c r="C49" s="2" t="s">
        <v>22</v>
      </c>
      <c r="D49" s="4" t="s">
        <v>158</v>
      </c>
      <c r="E49" s="4" t="s">
        <v>159</v>
      </c>
      <c r="F49" s="4" t="s">
        <v>160</v>
      </c>
      <c r="G49" s="2" t="s">
        <v>13</v>
      </c>
      <c r="H49" s="2" t="s">
        <v>14</v>
      </c>
    </row>
    <row r="50" customFormat="false" ht="15" hidden="false" customHeight="false" outlineLevel="0" collapsed="false">
      <c r="A50" s="2" t="n">
        <v>49</v>
      </c>
      <c r="B50" s="6" t="s">
        <v>157</v>
      </c>
      <c r="C50" s="2" t="s">
        <v>9</v>
      </c>
      <c r="D50" s="4" t="s">
        <v>161</v>
      </c>
      <c r="E50" s="4" t="s">
        <v>162</v>
      </c>
      <c r="F50" s="4" t="s">
        <v>163</v>
      </c>
      <c r="G50" s="2" t="s">
        <v>13</v>
      </c>
      <c r="H50" s="2" t="s">
        <v>14</v>
      </c>
    </row>
    <row r="51" customFormat="false" ht="43.25" hidden="false" customHeight="false" outlineLevel="0" collapsed="false">
      <c r="A51" s="2" t="n">
        <v>50</v>
      </c>
      <c r="B51" s="6" t="s">
        <v>157</v>
      </c>
      <c r="C51" s="2" t="s">
        <v>9</v>
      </c>
      <c r="D51" s="4" t="s">
        <v>164</v>
      </c>
      <c r="E51" s="4" t="s">
        <v>165</v>
      </c>
      <c r="F51" s="4" t="s">
        <v>166</v>
      </c>
      <c r="G51" s="2" t="s">
        <v>13</v>
      </c>
      <c r="H51" s="2" t="s">
        <v>14</v>
      </c>
    </row>
    <row r="52" customFormat="false" ht="22.35" hidden="false" customHeight="false" outlineLevel="0" collapsed="false">
      <c r="A52" s="2" t="n">
        <v>51</v>
      </c>
      <c r="B52" s="6" t="s">
        <v>157</v>
      </c>
      <c r="C52" s="2" t="s">
        <v>9</v>
      </c>
      <c r="D52" s="4" t="s">
        <v>167</v>
      </c>
      <c r="E52" s="4" t="s">
        <v>168</v>
      </c>
      <c r="F52" s="4" t="s">
        <v>169</v>
      </c>
      <c r="G52" s="2" t="s">
        <v>13</v>
      </c>
      <c r="H52" s="2" t="s">
        <v>14</v>
      </c>
    </row>
    <row r="53" customFormat="false" ht="22.35" hidden="false" customHeight="false" outlineLevel="0" collapsed="false">
      <c r="A53" s="2" t="n">
        <v>52</v>
      </c>
      <c r="B53" s="6" t="s">
        <v>157</v>
      </c>
      <c r="C53" s="2" t="s">
        <v>18</v>
      </c>
      <c r="D53" s="4" t="s">
        <v>170</v>
      </c>
      <c r="E53" s="4" t="s">
        <v>171</v>
      </c>
      <c r="F53" s="4" t="s">
        <v>172</v>
      </c>
      <c r="G53" s="2" t="s">
        <v>13</v>
      </c>
      <c r="H53" s="2" t="s">
        <v>14</v>
      </c>
    </row>
    <row r="54" customFormat="false" ht="32.8" hidden="false" customHeight="false" outlineLevel="0" collapsed="false">
      <c r="A54" s="2" t="n">
        <v>53</v>
      </c>
      <c r="B54" s="3" t="s">
        <v>8</v>
      </c>
      <c r="C54" s="2" t="s">
        <v>22</v>
      </c>
      <c r="D54" s="4" t="s">
        <v>173</v>
      </c>
      <c r="E54" s="4" t="s">
        <v>174</v>
      </c>
      <c r="F54" s="4" t="s">
        <v>175</v>
      </c>
      <c r="G54" s="2" t="s">
        <v>176</v>
      </c>
      <c r="H54" s="2" t="s">
        <v>14</v>
      </c>
    </row>
    <row r="55" customFormat="false" ht="22.35" hidden="false" customHeight="false" outlineLevel="0" collapsed="false">
      <c r="A55" s="2" t="n">
        <v>54</v>
      </c>
      <c r="B55" s="3" t="s">
        <v>8</v>
      </c>
      <c r="C55" s="2" t="s">
        <v>22</v>
      </c>
      <c r="D55" s="4" t="s">
        <v>177</v>
      </c>
      <c r="E55" s="4" t="s">
        <v>178</v>
      </c>
      <c r="F55" s="4" t="s">
        <v>179</v>
      </c>
      <c r="G55" s="2" t="s">
        <v>176</v>
      </c>
      <c r="H55" s="2" t="s">
        <v>14</v>
      </c>
    </row>
    <row r="56" customFormat="false" ht="43.25" hidden="false" customHeight="false" outlineLevel="0" collapsed="false">
      <c r="A56" s="2" t="n">
        <v>55</v>
      </c>
      <c r="B56" s="3" t="s">
        <v>8</v>
      </c>
      <c r="C56" s="2" t="s">
        <v>22</v>
      </c>
      <c r="D56" s="4" t="s">
        <v>180</v>
      </c>
      <c r="E56" s="4" t="s">
        <v>181</v>
      </c>
      <c r="F56" s="4" t="s">
        <v>182</v>
      </c>
      <c r="G56" s="2" t="s">
        <v>176</v>
      </c>
      <c r="H56" s="2" t="s">
        <v>14</v>
      </c>
    </row>
    <row r="57" customFormat="false" ht="43.25" hidden="false" customHeight="false" outlineLevel="0" collapsed="false">
      <c r="A57" s="2" t="n">
        <v>56</v>
      </c>
      <c r="B57" s="3" t="s">
        <v>8</v>
      </c>
      <c r="C57" s="2" t="s">
        <v>22</v>
      </c>
      <c r="D57" s="4" t="s">
        <v>183</v>
      </c>
      <c r="E57" s="4" t="s">
        <v>184</v>
      </c>
      <c r="F57" s="4" t="s">
        <v>185</v>
      </c>
      <c r="G57" s="2" t="s">
        <v>186</v>
      </c>
      <c r="H57" s="2" t="s">
        <v>14</v>
      </c>
    </row>
    <row r="58" customFormat="false" ht="32.8" hidden="false" customHeight="false" outlineLevel="0" collapsed="false">
      <c r="A58" s="2" t="n">
        <v>57</v>
      </c>
      <c r="B58" s="5" t="s">
        <v>59</v>
      </c>
      <c r="C58" s="2" t="s">
        <v>9</v>
      </c>
      <c r="D58" s="4" t="s">
        <v>187</v>
      </c>
      <c r="E58" s="4" t="s">
        <v>188</v>
      </c>
      <c r="F58" s="4" t="s">
        <v>189</v>
      </c>
      <c r="G58" s="2" t="s">
        <v>186</v>
      </c>
      <c r="H58" s="2" t="s">
        <v>14</v>
      </c>
    </row>
    <row r="59" customFormat="false" ht="32.8" hidden="false" customHeight="false" outlineLevel="0" collapsed="false">
      <c r="A59" s="2" t="n">
        <v>58</v>
      </c>
      <c r="B59" s="5" t="s">
        <v>59</v>
      </c>
      <c r="C59" s="2" t="s">
        <v>9</v>
      </c>
      <c r="D59" s="4" t="s">
        <v>190</v>
      </c>
      <c r="E59" s="4" t="s">
        <v>191</v>
      </c>
      <c r="F59" s="4" t="s">
        <v>192</v>
      </c>
      <c r="G59" s="2" t="s">
        <v>186</v>
      </c>
      <c r="H59" s="2" t="s">
        <v>14</v>
      </c>
    </row>
    <row r="60" customFormat="false" ht="32.8" hidden="false" customHeight="false" outlineLevel="0" collapsed="false">
      <c r="A60" s="2" t="n">
        <v>59</v>
      </c>
      <c r="B60" s="5" t="s">
        <v>59</v>
      </c>
      <c r="C60" s="2" t="s">
        <v>22</v>
      </c>
      <c r="D60" s="4" t="s">
        <v>193</v>
      </c>
      <c r="E60" s="4" t="s">
        <v>194</v>
      </c>
      <c r="F60" s="4" t="s">
        <v>195</v>
      </c>
      <c r="G60" s="2" t="s">
        <v>186</v>
      </c>
      <c r="H60" s="2" t="s">
        <v>14</v>
      </c>
    </row>
    <row r="61" customFormat="false" ht="22.35" hidden="false" customHeight="false" outlineLevel="0" collapsed="false">
      <c r="A61" s="2" t="n">
        <v>60</v>
      </c>
      <c r="B61" s="5" t="s">
        <v>59</v>
      </c>
      <c r="C61" s="2" t="s">
        <v>22</v>
      </c>
      <c r="D61" s="4" t="s">
        <v>196</v>
      </c>
      <c r="E61" s="4" t="s">
        <v>197</v>
      </c>
      <c r="F61" s="4" t="s">
        <v>198</v>
      </c>
      <c r="G61" s="2" t="s">
        <v>186</v>
      </c>
      <c r="H61" s="2" t="s">
        <v>14</v>
      </c>
    </row>
    <row r="62" customFormat="false" ht="53.7" hidden="false" customHeight="false" outlineLevel="0" collapsed="false">
      <c r="A62" s="2" t="n">
        <v>61</v>
      </c>
      <c r="B62" s="5" t="s">
        <v>59</v>
      </c>
      <c r="C62" s="2" t="s">
        <v>22</v>
      </c>
      <c r="D62" s="4" t="s">
        <v>199</v>
      </c>
      <c r="E62" s="4" t="s">
        <v>200</v>
      </c>
      <c r="F62" s="4" t="s">
        <v>201</v>
      </c>
      <c r="G62" s="2" t="s">
        <v>186</v>
      </c>
      <c r="H62" s="2" t="s">
        <v>14</v>
      </c>
    </row>
    <row r="63" customFormat="false" ht="32.8" hidden="false" customHeight="false" outlineLevel="0" collapsed="false">
      <c r="A63" s="2" t="n">
        <v>62</v>
      </c>
      <c r="B63" s="5" t="s">
        <v>59</v>
      </c>
      <c r="C63" s="2" t="s">
        <v>18</v>
      </c>
      <c r="D63" s="4" t="s">
        <v>202</v>
      </c>
      <c r="E63" s="4" t="s">
        <v>203</v>
      </c>
      <c r="F63" s="4" t="s">
        <v>204</v>
      </c>
      <c r="G63" s="2" t="s">
        <v>186</v>
      </c>
      <c r="H63" s="2" t="s">
        <v>14</v>
      </c>
    </row>
    <row r="64" customFormat="false" ht="43.25" hidden="false" customHeight="false" outlineLevel="0" collapsed="false">
      <c r="A64" s="2" t="n">
        <v>63</v>
      </c>
      <c r="B64" s="5" t="s">
        <v>59</v>
      </c>
      <c r="C64" s="2" t="s">
        <v>22</v>
      </c>
      <c r="D64" s="4" t="s">
        <v>205</v>
      </c>
      <c r="E64" s="4" t="s">
        <v>206</v>
      </c>
      <c r="F64" s="4" t="s">
        <v>207</v>
      </c>
      <c r="G64" s="2" t="s">
        <v>208</v>
      </c>
      <c r="H64" s="2" t="s">
        <v>14</v>
      </c>
    </row>
    <row r="65" customFormat="false" ht="32.8" hidden="false" customHeight="false" outlineLevel="0" collapsed="false">
      <c r="A65" s="2" t="n">
        <v>64</v>
      </c>
      <c r="B65" s="5" t="s">
        <v>59</v>
      </c>
      <c r="C65" s="2" t="s">
        <v>22</v>
      </c>
      <c r="D65" s="4" t="s">
        <v>209</v>
      </c>
      <c r="E65" s="4" t="s">
        <v>210</v>
      </c>
      <c r="F65" s="4" t="s">
        <v>211</v>
      </c>
      <c r="G65" s="2" t="s">
        <v>176</v>
      </c>
      <c r="H65" s="2" t="s">
        <v>14</v>
      </c>
    </row>
    <row r="66" customFormat="false" ht="32.8" hidden="false" customHeight="false" outlineLevel="0" collapsed="false">
      <c r="A66" s="2" t="n">
        <v>65</v>
      </c>
      <c r="B66" s="5" t="s">
        <v>59</v>
      </c>
      <c r="C66" s="2" t="s">
        <v>22</v>
      </c>
      <c r="D66" s="4" t="s">
        <v>212</v>
      </c>
      <c r="E66" s="4" t="s">
        <v>213</v>
      </c>
      <c r="F66" s="4" t="s">
        <v>214</v>
      </c>
      <c r="G66" s="2" t="s">
        <v>176</v>
      </c>
      <c r="H66" s="2" t="s">
        <v>14</v>
      </c>
    </row>
    <row r="67" customFormat="false" ht="43.25" hidden="false" customHeight="false" outlineLevel="0" collapsed="false">
      <c r="A67" s="2" t="n">
        <v>66</v>
      </c>
      <c r="B67" s="5" t="s">
        <v>59</v>
      </c>
      <c r="C67" s="2" t="s">
        <v>22</v>
      </c>
      <c r="D67" s="4" t="s">
        <v>215</v>
      </c>
      <c r="E67" s="4" t="s">
        <v>216</v>
      </c>
      <c r="F67" s="4" t="s">
        <v>217</v>
      </c>
      <c r="G67" s="2" t="s">
        <v>176</v>
      </c>
      <c r="H67" s="2" t="s">
        <v>14</v>
      </c>
    </row>
    <row r="68" customFormat="false" ht="22.35" hidden="false" customHeight="false" outlineLevel="0" collapsed="false">
      <c r="A68" s="2" t="n">
        <v>67</v>
      </c>
      <c r="B68" s="6" t="s">
        <v>157</v>
      </c>
      <c r="C68" s="2" t="s">
        <v>9</v>
      </c>
      <c r="D68" s="4" t="s">
        <v>218</v>
      </c>
      <c r="E68" s="4" t="s">
        <v>219</v>
      </c>
      <c r="F68" s="4" t="s">
        <v>220</v>
      </c>
      <c r="G68" s="2" t="s">
        <v>186</v>
      </c>
      <c r="H68" s="2" t="s">
        <v>14</v>
      </c>
    </row>
  </sheetData>
  <autoFilter ref="A1:H68"/>
  <dataValidations count="1">
    <dataValidation allowBlank="true" errorStyle="stop" operator="between" showDropDown="false" showErrorMessage="false" showInputMessage="false" sqref="H2:H68" type="list">
      <formula1>"Pendiente,En corrección,Corregido,No aplica"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5" min="2" style="0" width="10"/>
  </cols>
  <sheetData>
    <row r="1" customFormat="false" ht="15" hidden="false" customHeight="false" outlineLevel="0" collapsed="false">
      <c r="A1" s="7" t="s">
        <v>221</v>
      </c>
    </row>
    <row r="3" customFormat="false" ht="15" hidden="false" customHeight="false" outlineLevel="0" collapsed="false">
      <c r="A3" s="8" t="s">
        <v>2</v>
      </c>
      <c r="B3" s="8" t="s">
        <v>8</v>
      </c>
      <c r="C3" s="8" t="s">
        <v>59</v>
      </c>
      <c r="D3" s="8" t="s">
        <v>157</v>
      </c>
      <c r="E3" s="8" t="s">
        <v>222</v>
      </c>
    </row>
    <row r="4" customFormat="false" ht="15" hidden="false" customHeight="false" outlineLevel="0" collapsed="false">
      <c r="A4" s="9" t="s">
        <v>22</v>
      </c>
      <c r="B4" s="9" t="n">
        <f aca="false">COUNTIFS(Hallazgos!$C$2:$C$68,$A4,Hallazgos!$B$2:$B$68,B$3)</f>
        <v>13</v>
      </c>
      <c r="C4" s="9" t="n">
        <f aca="false">COUNTIFS(Hallazgos!$C$2:$C$68,$A4,Hallazgos!$B$2:$B$68,C$3)</f>
        <v>18</v>
      </c>
      <c r="D4" s="9" t="n">
        <f aca="false">COUNTIFS(Hallazgos!$C$2:$C$68,$A4,Hallazgos!$B$2:$B$68,D$3)</f>
        <v>1</v>
      </c>
      <c r="E4" s="9" t="n">
        <f aca="false">SUM(B4:D4)</f>
        <v>32</v>
      </c>
    </row>
    <row r="5" customFormat="false" ht="15" hidden="false" customHeight="false" outlineLevel="0" collapsed="false">
      <c r="A5" s="9" t="s">
        <v>60</v>
      </c>
      <c r="B5" s="9" t="n">
        <f aca="false">COUNTIFS(Hallazgos!$C$2:$C$68,$A5,Hallazgos!$B$2:$B$68,B$3)</f>
        <v>0</v>
      </c>
      <c r="C5" s="9" t="n">
        <f aca="false">COUNTIFS(Hallazgos!$C$2:$C$68,$A5,Hallazgos!$B$2:$B$68,C$3)</f>
        <v>10</v>
      </c>
      <c r="D5" s="9" t="n">
        <f aca="false">COUNTIFS(Hallazgos!$C$2:$C$68,$A5,Hallazgos!$B$2:$B$68,D$3)</f>
        <v>0</v>
      </c>
      <c r="E5" s="9" t="n">
        <f aca="false">SUM(B5:D5)</f>
        <v>10</v>
      </c>
    </row>
    <row r="6" customFormat="false" ht="15" hidden="false" customHeight="false" outlineLevel="0" collapsed="false">
      <c r="A6" s="9" t="s">
        <v>18</v>
      </c>
      <c r="B6" s="9" t="n">
        <f aca="false">COUNTIFS(Hallazgos!$C$2:$C$68,$A6,Hallazgos!$B$2:$B$68,B$3)</f>
        <v>1</v>
      </c>
      <c r="C6" s="9" t="n">
        <f aca="false">COUNTIFS(Hallazgos!$C$2:$C$68,$A6,Hallazgos!$B$2:$B$68,C$3)</f>
        <v>7</v>
      </c>
      <c r="D6" s="9" t="n">
        <f aca="false">COUNTIFS(Hallazgos!$C$2:$C$68,$A6,Hallazgos!$B$2:$B$68,D$3)</f>
        <v>1</v>
      </c>
      <c r="E6" s="9" t="n">
        <f aca="false">SUM(B6:D6)</f>
        <v>9</v>
      </c>
    </row>
    <row r="7" customFormat="false" ht="15" hidden="false" customHeight="false" outlineLevel="0" collapsed="false">
      <c r="A7" s="9" t="s">
        <v>9</v>
      </c>
      <c r="B7" s="9" t="n">
        <f aca="false">COUNTIFS(Hallazgos!$C$2:$C$68,$A7,Hallazgos!$B$2:$B$68,B$3)</f>
        <v>5</v>
      </c>
      <c r="C7" s="9" t="n">
        <f aca="false">COUNTIFS(Hallazgos!$C$2:$C$68,$A7,Hallazgos!$B$2:$B$68,C$3)</f>
        <v>7</v>
      </c>
      <c r="D7" s="9" t="n">
        <f aca="false">COUNTIFS(Hallazgos!$C$2:$C$68,$A7,Hallazgos!$B$2:$B$68,D$3)</f>
        <v>4</v>
      </c>
      <c r="E7" s="9" t="n">
        <f aca="false">SUM(B7:D7)</f>
        <v>16</v>
      </c>
    </row>
    <row r="8" customFormat="false" ht="15" hidden="false" customHeight="false" outlineLevel="0" collapsed="false">
      <c r="A8" s="10" t="s">
        <v>222</v>
      </c>
      <c r="B8" s="10" t="n">
        <f aca="false">SUM(B4:B7)</f>
        <v>19</v>
      </c>
      <c r="C8" s="10" t="n">
        <f aca="false">SUM(C4:C7)</f>
        <v>42</v>
      </c>
      <c r="D8" s="10" t="n">
        <f aca="false">SUM(D4:D7)</f>
        <v>6</v>
      </c>
      <c r="E8" s="10" t="n">
        <f aca="false">SUM(E4:E7)</f>
        <v>67</v>
      </c>
    </row>
    <row r="9" customFormat="false" ht="15" hidden="false" customHeight="false" outlineLevel="0" collapsed="false">
      <c r="A9" s="9"/>
      <c r="B9" s="9"/>
      <c r="C9" s="9"/>
      <c r="D9" s="9"/>
      <c r="E9" s="9"/>
    </row>
    <row r="10" customFormat="false" ht="15" hidden="false" customHeight="false" outlineLevel="0" collapsed="false">
      <c r="A10" s="9" t="s">
        <v>223</v>
      </c>
      <c r="B10" s="9" t="n">
        <f aca="false">COUNTIF(Hallazgos!$H$2:$H$68,"Corregido")</f>
        <v>0</v>
      </c>
      <c r="C10" s="9"/>
      <c r="D10" s="9"/>
      <c r="E10" s="9"/>
    </row>
    <row r="11" customFormat="false" ht="15" hidden="false" customHeight="false" outlineLevel="0" collapsed="false">
      <c r="A11" s="9" t="s">
        <v>224</v>
      </c>
      <c r="B11" s="9" t="n">
        <f aca="false">COUNTIF(Hallazgos!$H$2:$H$68,"Pendiente")</f>
        <v>67</v>
      </c>
      <c r="C11" s="9"/>
      <c r="D11" s="9"/>
      <c r="E11" s="9"/>
    </row>
    <row r="13" customFormat="false" ht="15" hidden="false" customHeight="false" outlineLevel="0" collapsed="false">
      <c r="A13" s="0" t="s">
        <v>225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2026-10-14T18:15:59Z</dcterms:created>
  <dc:creator>openpyxl</dc:creator>
  <dc:description/>
  <dc:language>en-US</dc:language>
  <cp:lastModifiedBy/>
  <dcterms:modified xsi:type="dcterms:W3CDTF">2026-10-14T18:15:59Z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