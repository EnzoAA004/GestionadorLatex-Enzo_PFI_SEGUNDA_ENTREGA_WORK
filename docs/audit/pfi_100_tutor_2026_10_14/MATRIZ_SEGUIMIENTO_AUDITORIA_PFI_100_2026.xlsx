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anel" sheetId="1" state="visible" r:id="rId1"/>
    <sheet xmlns:r="http://schemas.openxmlformats.org/officeDocument/2006/relationships" name="Seguimiento" sheetId="2" state="visible" r:id="rId2"/>
    <sheet xmlns:r="http://schemas.openxmlformats.org/officeDocument/2006/relationships" name="Criterios" sheetId="3" state="visible" r:id="rId3"/>
  </sheets>
  <definedNames/>
</workbook>
</file>

<file path=xl/styles.xml><?xml version="1.0" encoding="utf-8"?>
<styleSheet xmlns="http://schemas.openxmlformats.org/spreadsheetml/2006/main">
  <numFmts count="0"/>
  <fonts count="4">
    <font>
      <name val="Carlito"/>
      <sz val="11"/>
    </font>
    <font>
      <name val="Carlito"/>
      <b val="1"/>
      <color rgb="FFFFFFFF"/>
      <sz val="11"/>
    </font>
    <font>
      <name val="Carlito"/>
      <b val="1"/>
      <color rgb="FFFFFFFF"/>
      <sz val="16"/>
    </font>
    <font>
      <name val="Carlito"/>
      <color rgb="FF183153"/>
      <sz val="11"/>
    </font>
  </fonts>
  <fills count="4">
    <fill>
      <patternFill/>
    </fill>
    <fill>
      <patternFill patternType="gray125"/>
    </fill>
    <fill>
      <patternFill patternType="solid">
        <fgColor rgb="FF183153"/>
      </patternFill>
    </fill>
    <fill>
      <patternFill patternType="solid">
        <fgColor rgb="FFEAF0F6"/>
      </patternFill>
    </fill>
  </fills>
  <borders count="2">
    <border/>
    <border/>
  </borders>
  <cellStyleXfs count="1">
    <xf numFmtId="0" fontId="0" fillId="0" borderId="1"/>
  </cellStyleXfs>
  <cellXfs count="21">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vertical="center" wrapText="1"/>
    </xf>
    <xf numFmtId="0" fontId="0" fillId="0" borderId="0" applyAlignment="1" pivotButton="0" quotePrefix="0" xfId="0">
      <alignment wrapText="1"/>
    </xf>
    <xf numFmtId="0" fontId="0" fillId="0" borderId="1" applyAlignment="1" pivotButton="0" quotePrefix="0" xfId="0">
      <alignment wrapText="1"/>
    </xf>
    <xf numFmtId="0" fontId="2" fillId="2" borderId="0" pivotButton="0" quotePrefix="0" xfId="0"/>
    <xf numFmtId="0" fontId="2" fillId="2" borderId="1" pivotButton="0" quotePrefix="0" xfId="0"/>
    <xf numFmtId="0" fontId="0" fillId="3" borderId="0" pivotButton="0" quotePrefix="0" xfId="0"/>
    <xf numFmtId="0" fontId="3" fillId="3" borderId="0" pivotButton="0" quotePrefix="0" xfId="0"/>
    <xf numFmtId="0" fontId="0" fillId="3" borderId="1" pivotButton="0" quotePrefix="0" xfId="0"/>
    <xf numFmtId="0" fontId="3" fillId="3" borderId="1" pivotButton="0" quotePrefix="0" xfId="0"/>
    <xf numFmtId="1" fontId="0" fillId="0" borderId="0" pivotButton="0" quotePrefix="0" xfId="0"/>
    <xf numFmtId="1" fontId="0" fillId="0" borderId="1" pivotButton="0" quotePrefix="0" xfId="0"/>
    <xf numFmtId="1" fontId="0" fillId="0" borderId="0" pivotButton="0" quotePrefix="0" xfId="0"/>
  </cellXfs>
  <cellStyles count="1">
    <cellStyle name="Normal" xfId="0"/>
  </cellStyles>
  <dxfs count="4">
    <dxf>
      <fill>
        <patternFill>
          <bgColor rgb="FFDCFCE7"/>
        </patternFill>
      </fill>
    </dxf>
    <dxf>
      <fill>
        <patternFill>
          <bgColor rgb="FFFEE2E2"/>
        </patternFill>
      </fill>
    </dxf>
    <dxf>
      <fill>
        <patternFill>
          <bgColor rgb="FFFEF3C7"/>
        </patternFill>
      </fill>
    </dxf>
    <dxf>
      <fill>
        <patternFill>
          <bgColor rgb="FF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1" customWidth="1" min="1" max="1"/>
    <col width="18" customWidth="1" min="2" max="2"/>
    <col width="30" customWidth="1" min="4" max="4"/>
    <col width="30" customWidth="1" min="5" max="5"/>
    <col width="30" customWidth="1" min="6" max="6"/>
  </cols>
  <sheetData>
    <row r="1" ht="40" customHeight="1">
      <c r="A1" s="13" t="inlineStr">
        <is>
          <t>AUDITORÍA DEL TUTOR · PFI 100 % · 2026</t>
        </is>
      </c>
      <c r="B1" s="1" t="n"/>
      <c r="C1" s="1" t="n"/>
      <c r="D1" s="1" t="n"/>
      <c r="E1" s="1" t="n"/>
      <c r="F1" s="1" t="n"/>
    </row>
    <row r="2" ht="28" customHeight="1">
      <c r="A2" s="17" t="inlineStr">
        <is>
          <t>Planilla original inalterada; seguimiento de cambios en ramas locales aisladas</t>
        </is>
      </c>
      <c r="B2" s="1" t="n"/>
      <c r="C2" s="1" t="n"/>
      <c r="D2" s="1" t="n"/>
      <c r="E2" s="1" t="n"/>
      <c r="F2" s="1" t="n"/>
    </row>
    <row r="4" ht="26" customHeight="1">
      <c r="A4" s="3" t="inlineStr">
        <is>
          <t>Indicador</t>
        </is>
      </c>
      <c r="B4" s="3" t="inlineStr">
        <is>
          <t>Cantidad</t>
        </is>
      </c>
      <c r="D4" s="7" t="inlineStr">
        <is>
          <t>Regla de cierre</t>
        </is>
      </c>
      <c r="E4" s="1" t="n"/>
      <c r="F4" s="1" t="n"/>
    </row>
    <row r="5" ht="31" customHeight="1">
      <c r="A5" t="inlineStr">
        <is>
          <t>Total de hallazgos</t>
        </is>
      </c>
      <c r="B5" s="20">
        <f>COUNTA(Seguimiento!A2:A68)</f>
        <v/>
      </c>
      <c r="D5" s="11" t="inlineStr">
        <is>
          <t>No confundir 'Corrección aplicada' con 'Cerrado con evidencia'.</t>
        </is>
      </c>
      <c r="E5" s="1" t="n"/>
      <c r="F5" s="1" t="n"/>
    </row>
    <row r="6" ht="31" customHeight="1">
      <c r="A6" t="inlineStr">
        <is>
          <t>Alta prioridad</t>
        </is>
      </c>
      <c r="B6" s="20">
        <f>COUNTIF(Seguimiento!B2:B68,"Alta")</f>
        <v/>
      </c>
      <c r="D6" s="11" t="inlineStr">
        <is>
          <t>Un hallazgo 'Ya resuelto' requiere evidencia de que el problema no persiste.</t>
        </is>
      </c>
      <c r="E6" s="1" t="n"/>
      <c r="F6" s="1" t="n"/>
    </row>
    <row r="7" ht="31" customHeight="1">
      <c r="A7" t="inlineStr">
        <is>
          <t>Media prioridad</t>
        </is>
      </c>
      <c r="B7" s="20">
        <f>COUNTIF(Seguimiento!B2:B68,"Media")</f>
        <v/>
      </c>
      <c r="D7" s="11" t="inlineStr">
        <is>
          <t>No aplica justificado: documentar criterio y prueba en T.</t>
        </is>
      </c>
      <c r="E7" s="1" t="n"/>
      <c r="F7" s="1" t="n"/>
    </row>
    <row r="8" ht="31" customHeight="1">
      <c r="A8" t="inlineStr">
        <is>
          <t>Baja prioridad</t>
        </is>
      </c>
      <c r="B8" s="20">
        <f>COUNTIF(Seguimiento!B2:B68,"Baja")</f>
        <v/>
      </c>
      <c r="D8" s="11" t="inlineStr">
        <is>
          <t>Cada cierre debe enlazar ruta, SHA, QA y efecto en LaTeX.</t>
        </is>
      </c>
      <c r="E8" s="1" t="n"/>
      <c r="F8" s="1" t="n"/>
    </row>
    <row r="9" ht="31" customHeight="1">
      <c r="A9" t="inlineStr">
        <is>
          <t>Sin revisar</t>
        </is>
      </c>
      <c r="B9" s="20">
        <f>COUNTIF(Seguimiento!I2:I68,"Sin revisar")</f>
        <v/>
      </c>
      <c r="D9" s="11" t="inlineStr">
        <is>
          <t>Sin commits o pushes hacia ramas compartidas durante la auditoría.</t>
        </is>
      </c>
      <c r="E9" s="1" t="n"/>
      <c r="F9" s="1" t="n"/>
    </row>
    <row r="10" ht="31" customHeight="1">
      <c r="A10" t="inlineStr">
        <is>
          <t>En investigación</t>
        </is>
      </c>
      <c r="B10" s="20">
        <f>COUNTIF(Seguimiento!I2:I68,"En investigación")</f>
        <v/>
      </c>
      <c r="D10" s="11" t="inlineStr">
        <is>
          <t>No modificar Google Docs del tutor antes de la revisión final autorizada.</t>
        </is>
      </c>
      <c r="E10" s="1" t="n"/>
      <c r="F10" s="1" t="n"/>
    </row>
    <row r="11" ht="31" customHeight="1">
      <c r="A11" t="inlineStr">
        <is>
          <t>Confirmados</t>
        </is>
      </c>
      <c r="B11" s="20">
        <f>COUNTIF(Seguimiento!I2:I68,"Confirmado")</f>
        <v/>
      </c>
      <c r="D11" s="11" t="inlineStr">
        <is>
          <t>No cambiar cifras, métricas o resultados para cerrar hallazgos.</t>
        </is>
      </c>
      <c r="E11" s="1" t="n"/>
      <c r="F11" s="1" t="n"/>
    </row>
    <row r="12" ht="31" customHeight="1">
      <c r="A12" t="inlineStr">
        <is>
          <t>Corrección aplicada</t>
        </is>
      </c>
      <c r="B12" s="20">
        <f>COUNTIF(Seguimiento!I2:I68,"Corrección aplicada")</f>
        <v/>
      </c>
      <c r="D12" s="11" t="inlineStr">
        <is>
          <t>No cerrar si faltan evidencias técnicas o pruebas exigidas.</t>
        </is>
      </c>
      <c r="E12" s="1" t="n"/>
      <c r="F12" s="1" t="n"/>
    </row>
    <row r="13" ht="22" customHeight="1">
      <c r="A13" t="inlineStr">
        <is>
          <t>Ya resueltos</t>
        </is>
      </c>
      <c r="B13" s="20">
        <f>COUNTIF(Seguimiento!I2:I68,"Ya resuelto")</f>
        <v/>
      </c>
    </row>
    <row r="14" ht="22" customHeight="1">
      <c r="A14" t="inlineStr">
        <is>
          <t>No aplica justificado</t>
        </is>
      </c>
      <c r="B14" s="20">
        <f>COUNTIF(Seguimiento!I2:I68,"No aplica justificado")</f>
        <v/>
      </c>
    </row>
    <row r="15" ht="22" customHeight="1">
      <c r="A15" t="inlineStr">
        <is>
          <t>Bloqueados por evidencia</t>
        </is>
      </c>
      <c r="B15" s="20">
        <f>COUNTIF(Seguimiento!I2:I68,"Bloqueado por evidencia")</f>
        <v/>
      </c>
    </row>
    <row r="16" ht="22" customHeight="1">
      <c r="A16" t="inlineStr">
        <is>
          <t>Cerrados con evidencia</t>
        </is>
      </c>
      <c r="B16" s="20">
        <f>COUNTIF(Seguimiento!I2:I68,"Cerrado con evidencia")</f>
        <v/>
      </c>
    </row>
    <row r="17" ht="22" customHeight="1">
      <c r="A17" t="inlineStr">
        <is>
          <t>QA aprobado</t>
        </is>
      </c>
      <c r="B17" s="20">
        <f>COUNTIF(Seguimiento!S2:S68,"QA aprobado")</f>
        <v/>
      </c>
    </row>
    <row r="18" ht="22" customHeight="1">
      <c r="A18" t="inlineStr">
        <is>
          <t>Google Docs sincronizado</t>
        </is>
      </c>
      <c r="B18" s="20">
        <f>COUNTIF(Seguimiento!R2:R68,"Sincronizado")</f>
        <v/>
      </c>
    </row>
    <row r="19" ht="22" customHeight="1">
      <c r="B19" s="20" t="n"/>
    </row>
  </sheetData>
  <mergeCells count="11">
    <mergeCell ref="A2:F2"/>
    <mergeCell ref="D11:F11"/>
    <mergeCell ref="D5:F5"/>
    <mergeCell ref="A1:F1"/>
    <mergeCell ref="D4:F4"/>
    <mergeCell ref="D12:F12"/>
    <mergeCell ref="D9:F9"/>
    <mergeCell ref="D7:F7"/>
    <mergeCell ref="D8:F8"/>
    <mergeCell ref="D6:F6"/>
    <mergeCell ref="D10:F1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68"/>
  <sheetViews>
    <sheetView workbookViewId="0">
      <pane xSplit="4" ySplit="1" topLeftCell="E2" activePane="bottomRight" state="frozen"/>
      <selection activeCell="A1" sqref="A1"/>
    </sheetView>
  </sheetViews>
  <sheetFormatPr baseColWidth="8" defaultRowHeight="15"/>
  <cols>
    <col width="6" customWidth="1" min="1" max="1"/>
    <col width="13" customWidth="1" min="2" max="2"/>
    <col width="13" customWidth="1" min="3" max="3"/>
    <col width="25" customWidth="1" min="4" max="4"/>
    <col width="39" customWidth="1" min="5" max="5"/>
    <col width="39" customWidth="1" min="6" max="6"/>
    <col width="19" customWidth="1" min="7" max="7"/>
    <col width="19" customWidth="1" min="8" max="8"/>
    <col width="19" customWidth="1" min="9" max="9"/>
    <col width="19" customWidth="1" min="10" max="10"/>
    <col width="19" customWidth="1" min="11" max="11"/>
    <col width="25" customWidth="1" min="12" max="12"/>
    <col width="25" customWidth="1" min="13" max="13"/>
    <col width="35" customWidth="1" min="14" max="14"/>
    <col width="35" customWidth="1" min="15" max="15"/>
    <col width="23" customWidth="1" min="16" max="16"/>
    <col width="23" customWidth="1" min="17" max="17"/>
    <col width="18" customWidth="1" min="18" max="18"/>
    <col width="18" customWidth="1" min="19" max="19"/>
    <col width="30" customWidth="1" min="20" max="20"/>
    <col width="30" customWidth="1" min="21" max="21"/>
  </cols>
  <sheetData>
    <row r="1" ht="34" customHeight="1">
      <c r="A1" s="5" t="inlineStr">
        <is>
          <t>#</t>
        </is>
      </c>
      <c r="B1" s="5" t="inlineStr">
        <is>
          <t>Prioridad</t>
        </is>
      </c>
      <c r="C1" s="5" t="inlineStr">
        <is>
          <t>Tipo</t>
        </is>
      </c>
      <c r="D1" s="5" t="inlineStr">
        <is>
          <t>Apartado (pág.)</t>
        </is>
      </c>
      <c r="E1" s="5" t="inlineStr">
        <is>
          <t>Hallazgo</t>
        </is>
      </c>
      <c r="F1" s="5" t="inlineStr">
        <is>
          <t>Sugerencia</t>
        </is>
      </c>
      <c r="G1" s="5" t="inlineStr">
        <is>
          <t>Origen</t>
        </is>
      </c>
      <c r="H1" s="5" t="inlineStr">
        <is>
          <t>Estado</t>
        </is>
      </c>
      <c r="I1" s="5" t="inlineStr">
        <is>
          <t>Estado auditoría</t>
        </is>
      </c>
      <c r="J1" s="5" t="inlineStr">
        <is>
          <t>¿Confirmado?</t>
        </is>
      </c>
      <c r="K1" s="5" t="inlineStr">
        <is>
          <t>Frente</t>
        </is>
      </c>
      <c r="L1" s="5" t="inlineStr">
        <is>
          <t>Repositorio(s)</t>
        </is>
      </c>
      <c r="M1" s="5" t="inlineStr">
        <is>
          <t>Ruta / sección</t>
        </is>
      </c>
      <c r="N1" s="5" t="inlineStr">
        <is>
          <t>Evidencia verificable</t>
        </is>
      </c>
      <c r="O1" s="5" t="inlineStr">
        <is>
          <t>Corrección o justificación</t>
        </is>
      </c>
      <c r="P1" s="5" t="inlineStr">
        <is>
          <t>Commit(s) local(es)</t>
        </is>
      </c>
      <c r="Q1" s="5" t="inlineStr">
        <is>
          <t>Validación técnica / QA</t>
        </is>
      </c>
      <c r="R1" s="5" t="inlineStr">
        <is>
          <t>Estado Google Docs</t>
        </is>
      </c>
      <c r="S1" s="5" t="inlineStr">
        <is>
          <t>Revisión final</t>
        </is>
      </c>
      <c r="T1" s="5" t="inlineStr">
        <is>
          <t>Motivo no aplica</t>
        </is>
      </c>
      <c r="U1" s="5" t="inlineStr">
        <is>
          <t>Observaciones</t>
        </is>
      </c>
    </row>
    <row r="2" ht="34" customHeight="1">
      <c r="A2" s="10" t="n">
        <v>1</v>
      </c>
      <c r="B2" s="10" t="inlineStr">
        <is>
          <t>Alta</t>
        </is>
      </c>
      <c r="C2" s="10" t="inlineStr">
        <is>
          <t>Mejora</t>
        </is>
      </c>
      <c r="D2" s="10" t="inlineStr">
        <is>
          <t>Inicio (antes de p.2)</t>
        </is>
      </c>
      <c r="E2" s="10" t="inlineStr">
        <is>
          <t>No hay portada, resumen/abstract ni palabras clave. El documento arranca en 'Agradecimientos' y los autores solo se nombran en el Anexo D.</t>
        </is>
      </c>
      <c r="F2" s="10" t="inlineStr">
        <is>
          <t>Agregar portada (título, autores, tutor, carrera, fecha) y resumen ES/EN con palabras clave.</t>
        </is>
      </c>
      <c r="G2" s="10" t="inlineStr">
        <is>
          <t>Lectura del documento</t>
        </is>
      </c>
      <c r="H2" s="10" t="inlineStr">
        <is>
          <t>Pendiente</t>
        </is>
      </c>
      <c r="I2" s="10" t="inlineStr">
        <is>
          <t>Corrección aplicada</t>
        </is>
      </c>
      <c r="J2" s="10" t="inlineStr">
        <is>
          <t>Parcial</t>
        </is>
      </c>
      <c r="K2" s="10" t="inlineStr">
        <is>
          <t>Editorial</t>
        </is>
      </c>
      <c r="L2" s="10" t="inlineStr">
        <is>
          <t>Gestionador LaTeX</t>
        </is>
      </c>
      <c r="M2" s="10" t="inlineStr">
        <is>
          <t>chapters/title.tex; chapters/summary.tex; chapters/abstract.tex; main.tex</t>
        </is>
      </c>
      <c r="N2" s="10" t="inlineStr">
        <is>
          <t>main.pdf pp. 1–3: portada y datos de autor/tutor sí existen. summary.tex y abstract.tex contienen entornos vacíos y comentarios de pendiente; main.tex comenta el input de abstract. No se encontraron palabras clave.</t>
        </is>
      </c>
      <c r="O2" s="10" t="inlineStr">
        <is>
          <t>Se conservó la portada existente y se completaron el resumen y abstract bilingües con palabras clave y resultados respaldados.</t>
        </is>
      </c>
      <c r="P2" s="10" t="inlineStr">
        <is>
          <t>58e29fcb34942a7cf3107908f1f4911791df70d4</t>
        </is>
      </c>
      <c r="Q2" s="10" t="inlineStr">
        <is>
          <t>PDF recompilado: pdfLaTeX exit 0, 231 páginas; Biber 2.21 exit 0 en compilación limpia; sin referencias ni citas indefinidas. Revisión visual de tabla financiera (PDF p. 155).</t>
        </is>
      </c>
      <c r="R2" s="10" t="inlineStr">
        <is>
          <t>No revisado</t>
        </is>
      </c>
      <c r="S2" s="10" t="str"/>
      <c r="T2" s="10" t="str"/>
      <c r="U2" s="10" t="str"/>
    </row>
    <row r="3" ht="34" customHeight="1">
      <c r="A3" s="10" t="n">
        <v>2</v>
      </c>
      <c r="B3" s="10" t="inlineStr">
        <is>
          <t>Alta</t>
        </is>
      </c>
      <c r="C3" s="10" t="inlineStr">
        <is>
          <t>Mejora</t>
        </is>
      </c>
      <c r="D3" s="10" t="inlineStr">
        <is>
          <t>Obj. 4.2 (p.18); caps. 13–15 (pp.137–154); Anexo A.2 (pp.155–158)</t>
        </is>
      </c>
      <c r="E3" s="10" t="inlineStr">
        <is>
          <t>No existe capítulo de Discusión, Conclusiones generales ni Trabajos futuros, solo cierres parciales por capítulo. El último objetivo específico los promete y el cronograma los deja pendientes para nov–dic.</t>
        </is>
      </c>
      <c r="F3" s="10" t="inlineStr">
        <is>
          <t>Capítulo final con matriz objetivo → evidencia → grado de cumplimiento, discusión y líneas futuras.</t>
        </is>
      </c>
      <c r="G3" s="10" t="inlineStr">
        <is>
          <t>Lectura del documento</t>
        </is>
      </c>
      <c r="H3" s="10" t="inlineStr">
        <is>
          <t>Pendiente</t>
        </is>
      </c>
      <c r="I3" s="10" t="inlineStr">
        <is>
          <t>Corrección aplicada</t>
        </is>
      </c>
      <c r="J3" s="10" t="inlineStr">
        <is>
          <t>Sí</t>
        </is>
      </c>
      <c r="K3" s="10" t="inlineStr">
        <is>
          <t>Cierre académico</t>
        </is>
      </c>
      <c r="L3" s="10" t="inlineStr">
        <is>
          <t>Gestionador LaTeX</t>
        </is>
      </c>
      <c r="M3" s="10" t="inlineStr">
        <is>
          <t>chapters/capitulo_01_introduccion.tex; chapters/capitulo_05_alcance.tex; capítulos 13–15</t>
        </is>
      </c>
      <c r="N3" s="10" t="inlineStr">
        <is>
          <t>Introducción y alcance dicen expresamente que discusión, conclusiones y trabajos futuros permanecen pendientes; no existe capítulo general de cierre en el árbol activo.</t>
        </is>
      </c>
      <c r="O3" s="10" t="inlineStr">
        <is>
          <t>Se agregó un capítulo final con relación objetivo–evidencia–cumplimiento, discusión, limitaciones y trabajo futuro; la redacción conserva los límites reales de la evidencia.</t>
        </is>
      </c>
      <c r="P3" s="10" t="inlineStr">
        <is>
          <t>58e29fcb34942a7cf3107908f1f4911791df70d4</t>
        </is>
      </c>
      <c r="Q3" s="10" t="inlineStr">
        <is>
          <t>PDF recompilado: pdfLaTeX exit 0, 231 páginas; Biber 2.21 exit 0 en compilación limpia; sin referencias ni citas indefinidas. Revisión visual de tabla financiera (PDF p. 155).</t>
        </is>
      </c>
      <c r="R3" s="10" t="inlineStr">
        <is>
          <t>No revisado</t>
        </is>
      </c>
      <c r="S3" s="10" t="str"/>
      <c r="T3" s="10" t="str"/>
      <c r="U3" s="10" t="str"/>
    </row>
    <row r="4" ht="34" customHeight="1">
      <c r="A4" s="10" t="n">
        <v>3</v>
      </c>
      <c r="B4" s="10" t="inlineStr">
        <is>
          <t>Alta</t>
        </is>
      </c>
      <c r="C4" s="10" t="inlineStr">
        <is>
          <t>Sintaxis</t>
        </is>
      </c>
      <c r="D4" s="10" t="inlineStr">
        <is>
          <t>10.4.2 (p.84), 10.4.3 (p.86), 10.7.2 (pp.94–96), 12.3.1 (p.122)</t>
        </is>
      </c>
      <c r="E4" s="10" t="inlineStr">
        <is>
          <t>Quedaron cuatro marcadores '▣ FIGURA … INSERTAR' en lugar de las Figs. 10.4 (modelo de datos), 10.5 (clases), 10.7 (topología GCP) y 12.2 (WIF). El archivo tiene 24 imágenes para 28 figuras listadas.</t>
        </is>
      </c>
      <c r="F4" s="10" t="inlineStr">
        <is>
          <t>Insertar los diagramas o retirar figura y texto asociado, y ajustar la Lista de Figuras.</t>
        </is>
      </c>
      <c r="G4" s="10" t="inlineStr">
        <is>
          <t>Lectura del documento</t>
        </is>
      </c>
      <c r="H4" s="10" t="inlineStr">
        <is>
          <t>Pendiente</t>
        </is>
      </c>
      <c r="I4" s="10" t="inlineStr">
        <is>
          <t>Cerrado con evidencia</t>
        </is>
      </c>
      <c r="J4" s="10" t="inlineStr">
        <is>
          <t>No</t>
        </is>
      </c>
      <c r="K4" s="10" t="inlineStr">
        <is>
          <t>Figuras y arquitectura</t>
        </is>
      </c>
      <c r="L4" s="10" t="inlineStr">
        <is>
          <t>Gestionador LaTeX</t>
        </is>
      </c>
      <c r="M4" s="10" t="inlineStr">
        <is>
          <t>chapters/capitulo_10_diseno_arquitectura.tex; chapters/capitulo_12_metodologia_validacion.tex; main.pdf</t>
        </is>
      </c>
      <c r="N4" s="10" t="inlineStr">
        <is>
          <t>Las cuatro figuras están activas y legibles en el PDF recompilado; páginas físicas 94/96/105/132. Contraste adicional: DER y clases concuerdan con esquema/migraciones/código del snapshot Backend. Figura Cloud fechada como DEV/E2E observado; Terraform de etapa posterior deja SQL/AI externos/desactivados, no es despliegue equivalente. Véase INVESTIGACION_BLOQUEOS_2026-10-14.md, H03.</t>
        </is>
      </c>
      <c r="O4" s="10" t="inlineStr">
        <is>
          <t>Sin cambios para H03; se conserva el baseline y se actualiza evidencia de QA.</t>
        </is>
      </c>
      <c r="P4" s="10" t="inlineStr">
        <is>
          <t>0454dc38ce0e12c3267e73b5fcb4b852c3cfde89</t>
        </is>
      </c>
      <c r="Q4" s="10" t="inlineStr">
        <is>
          <t>QA: PDF recompilado (232 páginas físicas); Lista de Figuras física p.15 muestra secuencia 11.1–11.5 sin duplicado 11.4; tablas/figuras revisadas por extracción de PDF. Diferencia de alcance Cloud documentada; sin afirmar que snapshots sean HEAD remoto final.</t>
        </is>
      </c>
      <c r="R4" s="10" t="inlineStr">
        <is>
          <t>No revisado</t>
        </is>
      </c>
      <c r="S4" s="10" t="inlineStr">
        <is>
          <t>QA aprobado</t>
        </is>
      </c>
      <c r="T4" s="10" t="str"/>
      <c r="U4" s="10" t="str"/>
    </row>
    <row r="5" ht="34" customHeight="1">
      <c r="A5" s="10" t="n">
        <v>4</v>
      </c>
      <c r="B5" s="10" t="inlineStr">
        <is>
          <t>Alta</t>
        </is>
      </c>
      <c r="C5" s="10" t="inlineStr">
        <is>
          <t>Coherencia</t>
        </is>
      </c>
      <c r="D5" s="10" t="inlineStr">
        <is>
          <t>11.4 (pp.105–106); 13.3–13.4 (pp.126–127); Anexo E.3 (p.189)</t>
        </is>
      </c>
      <c r="E5" s="10" t="inlineStr">
        <is>
          <t>El umbral es 'Dice macro de primer plano ≥ 0,70', pero el valor de las cuatro estructuras (0,811) lo supera y el que 'reprueba' (0,679) incluye una clase llamada 'fondo'. El cálculo (4×0,811+0,15)/5 = 0,679 sugiere que ese promedio abarca 5 clases (4 estructuras + raw_0), no 'dos fondos' como dicen 11.4 y la Tabla 13.2. La fila 3 de la Tabla 13.2 rotula 0,811 como 'cuatro estructuras y un fondo', contra el texto.</t>
        </is>
      </c>
      <c r="F5" s="10" t="inlineStr">
        <is>
          <t>Definir formalmente qué clases entran en la métrica, publicar Dice por clase (las 6) y corregir rótulos. Decidir con claridad si el módulo axial aprueba.</t>
        </is>
      </c>
      <c r="G5" s="10" t="inlineStr">
        <is>
          <t>Lectura del documento</t>
        </is>
      </c>
      <c r="H5" s="10" t="inlineStr">
        <is>
          <t>Pendiente</t>
        </is>
      </c>
      <c r="I5" s="10" t="inlineStr">
        <is>
          <t>Confirmado</t>
        </is>
      </c>
      <c r="J5" s="10" t="inlineStr">
        <is>
          <t>Parcial</t>
        </is>
      </c>
      <c r="K5" s="10" t="inlineStr">
        <is>
          <t>Métricas y taxonomía</t>
        </is>
      </c>
      <c r="L5" s="10" t="inlineStr">
        <is>
          <t>Gestionador LaTeX; AI Module</t>
        </is>
      </c>
      <c r="M5" s="10" t="inlineStr">
        <is>
          <t>chapters/capitulo_11_capacidades_prototipo.tex §11.4; chapters/capitulo_13_resultados_evaluacion.tex §§13.2–13.4; appendices/anexo_e_configuracion_entrenamiento.tex</t>
        </is>
      </c>
      <c r="N5" s="10" t="inlineStr">
        <is>
          <t>H04: el model card sagital publica solo Dice macro no-background 0.8934 e IoU macro 0.8080; no expone los tres Dice por clase. El model card axial sí trae métricas Dice/IoU por clase (raw_0 test Dice 0.1545; raw_50 0.9316; raw_100 0.8400; raw_150 0.7955; raw_200 0.6752). Gate axial no aprobado (macro foreground 0.67935). Evidencia: modelos/final/*.modelcard.md y *.manifest.json del snapshot AI.</t>
        </is>
      </c>
      <c r="O5" s="10" t="inlineStr">
        <is>
          <t>Completar solo las celdas de métrica que correspondan a cada modelo y dejar explícita la ausencia de desglose por clase para el modelo sagital. No volver a presentar el macro promedio como gate aprobado.</t>
        </is>
      </c>
      <c r="P5" s="10" t="str"/>
      <c r="Q5" s="10" t="inlineStr">
        <is>
          <t>No se recalcularon métricas; QA de artefacto pendiente.</t>
        </is>
      </c>
      <c r="R5" s="10" t="inlineStr">
        <is>
          <t>No revisado</t>
        </is>
      </c>
      <c r="S5" s="10" t="str"/>
      <c r="T5" s="10" t="str"/>
      <c r="U5" s="10" t="str"/>
    </row>
    <row r="6" ht="34" customHeight="1">
      <c r="A6" s="10" t="n">
        <v>5</v>
      </c>
      <c r="B6" s="10" t="inlineStr">
        <is>
          <t>Alta</t>
        </is>
      </c>
      <c r="C6" s="10" t="inlineStr">
        <is>
          <t>Coherencia</t>
        </is>
      </c>
      <c r="D6" s="10" t="inlineStr">
        <is>
          <t>5.4 (p.20) y 11.11.1 (p.116) vs. 7.11.3 (p.49), RF-22 (pp.72–73), Tabla 15.1 (p.153)</t>
        </is>
      </c>
      <c r="E6" s="10" t="inlineStr">
        <is>
          <t>Se afirma que los hallazgos degenerativos están fuera del producto y que 'ninguna de las ocho estimaciones se expone'. Pero 7.11.3 dice que 'el producto puede generar' hallazgos, RF-22 los marca Alta/Implementado y la Tabla 15.1 'implementado e integrado'.</t>
        </is>
      </c>
      <c r="F6" s="10" t="inlineStr">
        <is>
          <t>Unificar ('implementado en Backend+AI, deshabilitado en el producto') y corregir 7.11.3, RF-22 y Tabla 15.1.</t>
        </is>
      </c>
      <c r="G6" s="10" t="inlineStr">
        <is>
          <t>Lectura del documento</t>
        </is>
      </c>
      <c r="H6" s="10" t="inlineStr">
        <is>
          <t>Pendiente</t>
        </is>
      </c>
      <c r="I6" s="10" t="inlineStr">
        <is>
          <t>Corrección aplicada</t>
        </is>
      </c>
      <c r="J6" s="10" t="inlineStr">
        <is>
          <t>Sí</t>
        </is>
      </c>
      <c r="K6" s="10" t="inlineStr">
        <is>
          <t>Alcance funcional</t>
        </is>
      </c>
      <c r="L6" s="10" t="inlineStr">
        <is>
          <t>Gestionador LaTeX; Backend; AI Module</t>
        </is>
      </c>
      <c r="M6" s="10" t="inlineStr">
        <is>
          <t>chapters/capitulo_05_alcance.tex §5.4; chapters/capitulo_09_requerimientos.tex RF-22; chapters/capitulo_11_capacidades_prototipo.tex §11.11.1; appendices/anexo_f_evolucion_tecnica.tex</t>
        </is>
      </c>
      <c r="N6" s="10" t="inlineStr">
        <is>
          <t>RF-22 contempla ocho categorías P10.7, pero la ruta de producto permanece bloqueada por blocked_preprocessing_parity y automaticInferenceEnabled=false; la tesis documenta la distinción entre implementación contractual y disponibilidad de inferencia automática. Snapshots locales de Backend y AI contrastados; no se modificó código de producto.</t>
        </is>
      </c>
      <c r="O6" s="10" t="inlineStr">
        <is>
          <t>Se aclaró que RF-22 define las ocho categorías P10.7 pero la inferencia automática del producto está deshabilitada por blocked_preprocessing_parity y automaticInferenceEnabled=false; sin cambios de código.</t>
        </is>
      </c>
      <c r="P6" s="10" t="inlineStr">
        <is>
          <t>21295af8462380cf1591ca607c1aad7cbe708b0a</t>
        </is>
      </c>
      <c r="Q6" s="10" t="inlineStr">
        <is>
          <t>PDF recompilado: pdfLaTeX exit 0, 231 páginas; Biber 2.21 exit 0 en compilación limpia; sin referencias ni citas indefinidas. Revisión visual de tabla financiera (PDF p. 155).</t>
        </is>
      </c>
      <c r="R6" s="10" t="inlineStr">
        <is>
          <t>No revisado</t>
        </is>
      </c>
      <c r="S6" s="10" t="str"/>
      <c r="T6" s="10" t="str"/>
      <c r="U6" s="10" t="str"/>
    </row>
    <row r="7" ht="34" customHeight="1">
      <c r="A7" s="10" t="n">
        <v>6</v>
      </c>
      <c r="B7" s="10" t="inlineStr">
        <is>
          <t>Alta</t>
        </is>
      </c>
      <c r="C7" s="10" t="inlineStr">
        <is>
          <t>Coherencia</t>
        </is>
      </c>
      <c r="D7" s="10" t="inlineStr">
        <is>
          <t>6.3.2 (p.24), Tabla 6.4 (p.32), Tabla A.3 (p.158) vs. 6.3.4 (p.25) y 11.11.1 (p.116)</t>
        </is>
      </c>
      <c r="E7" s="10" t="inlineStr">
        <is>
          <t>Se dice que LumbarDISC 'sirvió de base/habilitó' los hallazgos por nivel, pero 6.3.4 atribuye ese modelo a SPIDER. Las 8 etiquetas (Pfirrmann, Modic, listesis…) no son las de LumbarDISC (estenosis). Confirmado externamente: LumbarDISC está anotado solo para estenosis (canal, receso subarticular, foramen) y las gradaciones del modelo (Pfirrmann, Modic, platillos, listesis, hernia, estrechamiento, abombamiento) las publica SPIDER en su release.</t>
        </is>
      </c>
      <c r="F7" s="10" t="inlineStr">
        <is>
          <t>Explicitar por modelo: dataset, etiquetas y partición.</t>
        </is>
      </c>
      <c r="G7" s="10" t="inlineStr">
        <is>
          <t>Lectura del documento</t>
        </is>
      </c>
      <c r="H7" s="10" t="inlineStr">
        <is>
          <t>Pendiente</t>
        </is>
      </c>
      <c r="I7" s="10" t="inlineStr">
        <is>
          <t>Corrección aplicada</t>
        </is>
      </c>
      <c r="J7" s="10" t="inlineStr">
        <is>
          <t>Sí</t>
        </is>
      </c>
      <c r="K7" s="10" t="inlineStr">
        <is>
          <t>Procedencia de datos y etiquetas</t>
        </is>
      </c>
      <c r="L7" s="10" t="inlineStr">
        <is>
          <t>Gestionador LaTeX; AI Module</t>
        </is>
      </c>
      <c r="M7" s="10" t="inlineStr">
        <is>
          <t>chapters/capitulo_06_estado_del_arte.tex §6.3.4; chapters/capitulo_11_capacidades_prototipo.tex §11.11.1; chapters/capitulo_13_resultados_evaluacion.tex</t>
        </is>
      </c>
      <c r="N7" s="10" t="inlineStr">
        <is>
          <t>P10.6: clasificación axial de estenosis subarticular con RSNA/LumbarDISC. P10.7: estimación de ocho hallazgos sagitales con SPIDER. La tesis ahora separa tarea, dataset y alcance; no se afirma reconstrucción de particiones ni reentrenamiento.</t>
        </is>
      </c>
      <c r="O7" s="10" t="inlineStr">
        <is>
          <t>Se separaron P10.6 (clasificador axial RSNA/LumbarDISC) y P10.7 (ocho hallazgos sagitales SPIDER); se documentó tarea y procedencia sin reconstruir particiones ni reentrenar.</t>
        </is>
      </c>
      <c r="P7" s="10" t="inlineStr">
        <is>
          <t>4f27a62214e254e1d991cba379b4c9c6cbf5d52b</t>
        </is>
      </c>
      <c r="Q7" s="10" t="inlineStr">
        <is>
          <t>PDF recompilado: pdfLaTeX exit 0, 231 páginas; Biber 2.21 exit 0 en compilación limpia; sin referencias ni citas indefinidas. Revisión visual de tabla financiera (PDF p. 155).</t>
        </is>
      </c>
      <c r="R7" s="10" t="inlineStr">
        <is>
          <t>No revisado</t>
        </is>
      </c>
      <c r="S7" s="10" t="str"/>
      <c r="T7" s="10" t="str"/>
      <c r="U7" s="10" t="str"/>
    </row>
    <row r="8" ht="34" customHeight="1">
      <c r="A8" s="10" t="n">
        <v>7</v>
      </c>
      <c r="B8" s="10" t="inlineStr">
        <is>
          <t>Alta</t>
        </is>
      </c>
      <c r="C8" s="10" t="inlineStr">
        <is>
          <t>Coherencia</t>
        </is>
      </c>
      <c r="D8" s="10" t="inlineStr">
        <is>
          <t>9.6–9.10 (pp.67–77), 11.7 (p.111), 15.2 (p.153), A.3 (p.158), Anexo F (p.195) vs. 11.12 (p.118), 13.8 (p.128)</t>
        </is>
      </c>
      <c r="E8" s="10" t="inlineStr">
        <is>
          <t>El recorrido E2E con interfaz sobre stack real figura 'pendiente' en unos lugares y con 'Playwright 11/11 PASS / evidencia final' en otros (parte sobre Demo Mode). El Anexo F dice ambas cosas en el mismo apartado.</t>
        </is>
      </c>
      <c r="F8" s="10" t="inlineStr">
        <is>
          <t>Tabla única de qué se probó y dónde (demo / local real / Cloud V2), con evidencia. Ejecutar el recorrido real o declararlo fuera de alcance.</t>
        </is>
      </c>
      <c r="G8" s="10" t="inlineStr">
        <is>
          <t>Lectura del documento</t>
        </is>
      </c>
      <c r="H8" s="10" t="inlineStr">
        <is>
          <t>Pendiente</t>
        </is>
      </c>
      <c r="I8" s="10" t="inlineStr">
        <is>
          <t>Corrección aplicada</t>
        </is>
      </c>
      <c r="J8" s="10" t="inlineStr">
        <is>
          <t>Sí</t>
        </is>
      </c>
      <c r="K8" s="10" t="inlineStr">
        <is>
          <t>E2E y evidencia QA</t>
        </is>
      </c>
      <c r="L8" s="10" t="inlineStr">
        <is>
          <t>Gestionador LaTeX; Frontend; Backend</t>
        </is>
      </c>
      <c r="M8" s="10" t="inlineStr">
        <is>
          <t>chapters/capitulo_13_resultados_evaluacion.tex §§13.8–13.9; chapters/capitulo_11_capacidades_prototipo.tex; chapters/capitulo_14_planificacion_academica.tex; appendices/anexo_a_cronograma.tex; appendices/anexo_f_evolucion_tecnica.tex; Frontend docs/post_e50/87_BROWSER_FULL_FLOW.md; Backend docs/post_e50/87_FULL_DOCKER_E2E.md</t>
        </is>
      </c>
      <c r="N8" s="10" t="inlineStr">
        <is>
          <t>Los reports Stage 87 describen el flujo principal Browser E2E aprobado en tres ejecuciones con bytes sintéticos y mock de IA; selector de corrección/chat parcialmente automatizados y comprobados por API. Se retiró la fila duplicada y se diferenciaron resultado acotado y cierre global parcial.</t>
        </is>
      </c>
      <c r="O8" s="10" t="inlineStr">
        <is>
          <t>Precisar alcances; no atribuir 11/11 al flujo global.</t>
        </is>
      </c>
      <c r="P8" s="10" t="inlineStr">
        <is>
          <t>304153cbdbc0a1908efa9d361d03bbe148d30a92</t>
        </is>
      </c>
      <c r="Q8" s="10" t="inlineStr">
        <is>
          <t>PDF recompilado: pdfLaTeX exit 0, 231 páginas; Biber 2.21 exit 0 en compilación limpia; sin referencias ni citas indefinidas. Revisión visual de tabla financiera (PDF p. 155).</t>
        </is>
      </c>
      <c r="R8" s="10" t="inlineStr">
        <is>
          <t>No revisado</t>
        </is>
      </c>
      <c r="S8" s="10" t="str"/>
      <c r="T8" s="10" t="str"/>
      <c r="U8" s="10" t="str"/>
    </row>
    <row r="9" ht="34" customHeight="1">
      <c r="A9" s="10" t="n">
        <v>8</v>
      </c>
      <c r="B9" s="10" t="inlineStr">
        <is>
          <t>Alta</t>
        </is>
      </c>
      <c r="C9" s="10" t="inlineStr">
        <is>
          <t>Coherencia</t>
        </is>
      </c>
      <c r="D9" s="10" t="inlineStr">
        <is>
          <t>RV-02/03 (p.76), RF-21 y RNF-09 (pp.73–75), Tablas 13.5 y H.1 (pp.134, 208), A.1 (p.155), Tabla 15.1 (pp.152–153), Anexo F (p.195)</t>
        </is>
      </c>
      <c r="E9" s="10" t="inlineStr">
        <is>
          <t>Estados desactualizados en una entrega '100 %'. Validaciones 'En curso' aunque el cap. 13 las da por hechas. Tablas 13.5/H.1 admiten estar 'al 6 de octubre… requieren actualización'. Anexo A marca el 50 % 'En curso' y el 75 % 'Previsto'. Anexo F lista como 'Pendiente' la validación profesional, el negocio y Cloud, ya presentados. El archivo dice 'Tercera entrega 100 %' pero el cronograma deja el 75 % como futuro.</t>
        </is>
      </c>
      <c r="F9" s="10" t="inlineStr">
        <is>
          <t>Actualizar estados y fechas y aclarar a qué hito corresponde esta entrega.</t>
        </is>
      </c>
      <c r="G9" s="10" t="inlineStr">
        <is>
          <t>Lectura del documento</t>
        </is>
      </c>
      <c r="H9" s="10" t="inlineStr">
        <is>
          <t>Pendiente</t>
        </is>
      </c>
      <c r="I9" s="10" t="inlineStr">
        <is>
          <t>Corrección aplicada</t>
        </is>
      </c>
      <c r="J9" s="10" t="inlineStr">
        <is>
          <t>Parcial</t>
        </is>
      </c>
      <c r="K9" s="10" t="inlineStr">
        <is>
          <t>Hitos y estados</t>
        </is>
      </c>
      <c r="L9" s="10" t="inlineStr">
        <is>
          <t>Gestionador LaTeX</t>
        </is>
      </c>
      <c r="M9" s="10" t="inlineStr">
        <is>
          <t>chapters/capitulo_05_alcance.tex §5.6; chapters/capitulo_14_planificacion_academica.tex; appendices/anexo_a_cronograma.tex; appendices/anexo_f_evolucion_tecnica.tex</t>
        </is>
      </c>
      <c r="N9" s="10" t="inlineStr">
        <is>
          <t>La planificación se reconcilió con la entrega académica del 75 % y la defensa, distinguiéndolas del cierre de software y la validación profesional posterior. No se editó Google Docs; queda pendiente confirmar el estado de hitos externos.</t>
        </is>
      </c>
      <c r="O9" s="10" t="inlineStr">
        <is>
          <t>Se alineó el cronograma académico con la entrega del 75 % y la defensa, separándolos del cierre de software y la validación profesional posterior.</t>
        </is>
      </c>
      <c r="P9" s="10" t="inlineStr">
        <is>
          <t>ecaf4cf6e4c57bb08f506167b430ca7b8289feb6</t>
        </is>
      </c>
      <c r="Q9" s="10" t="inlineStr">
        <is>
          <t>PDF recompilado: pdfLaTeX exit 0, 231 páginas; Biber 2.21 exit 0 en compilación limpia; sin referencias ni citas indefinidas. Revisión visual de tabla financiera (PDF p. 155).</t>
        </is>
      </c>
      <c r="R9" s="10" t="inlineStr">
        <is>
          <t>No revisado</t>
        </is>
      </c>
      <c r="S9" s="10" t="str"/>
      <c r="T9" s="10" t="str"/>
      <c r="U9" s="10" t="str"/>
    </row>
    <row r="10" ht="34" customHeight="1">
      <c r="A10" s="10" t="n">
        <v>9</v>
      </c>
      <c r="B10" s="10" t="inlineStr">
        <is>
          <t>Alta</t>
        </is>
      </c>
      <c r="C10" s="10" t="inlineStr">
        <is>
          <t>Coherencia</t>
        </is>
      </c>
      <c r="D10" s="10" t="inlineStr">
        <is>
          <t>5.4 (p.20), RF-08/HU-14 (pp.68, 70), 5.5 (p.21), RNF-07 (p.75) vs. 11.12 (p.119), 13.8 (p.129)</t>
        </is>
      </c>
      <c r="E10" s="10" t="inlineStr">
        <is>
          <t>La comparación longitudinal es 'futura' en 5.4, RF-08 y HU-14, pero 'Parcial' en la Tabla 11.5 y 'PASS' en la 13.4. Se afirma que subjectRef no es la identidad longitudinal, mientras las tablas la describen 'basada principalmente en subjectRef/Demo Mode'.</t>
        </is>
      </c>
      <c r="F10" s="10" t="inlineStr">
        <is>
          <t>Fijar el estado real con su evidencia y explicar Patient/subjectRef en un solo lugar.</t>
        </is>
      </c>
      <c r="G10" s="10" t="inlineStr">
        <is>
          <t>Lectura del documento</t>
        </is>
      </c>
      <c r="H10" s="10" t="inlineStr">
        <is>
          <t>Pendiente</t>
        </is>
      </c>
      <c r="I10" s="10" t="inlineStr">
        <is>
          <t>Corrección aplicada</t>
        </is>
      </c>
      <c r="J10" s="10" t="inlineStr">
        <is>
          <t>Parcial</t>
        </is>
      </c>
      <c r="K10" s="10" t="inlineStr">
        <is>
          <t>Identidad longitudinal</t>
        </is>
      </c>
      <c r="L10" s="10" t="inlineStr">
        <is>
          <t>Gestionador LaTeX; Backend; Frontend</t>
        </is>
      </c>
      <c r="M10" s="10" t="inlineStr">
        <is>
          <t>chapters/capitulo_05_alcance.tex §5.5; chapters/capitulo_09_requerimientos.tex RF-08/RF-14; chapters/capitulo_11_capacidades_prototipo.tex §§11.1, 11.9; chapters/capitulo_13_resultados_evaluacion.tex</t>
        </is>
      </c>
      <c r="N10" s="10" t="inlineStr">
        <is>
          <t>Se cotejó el uso en snapshots: Patient/patientId para API y persistencia Backend; subjectRef continúa en historial/comparación del Frontend; Demo Mode es descriptivo, la gestión completa desde navegador sigue parcial. Se revisó y recompiló el texto en H09.</t>
        </is>
      </c>
      <c r="O10" s="10" t="inlineStr">
        <is>
          <t>Reconciliar capítulos 3, 5, 8 y 9; no hubo cambio de código.</t>
        </is>
      </c>
      <c r="P10" s="10" t="inlineStr">
        <is>
          <t>11568e2e8d5a80b6551288fbca74c6d13bb0ffa3</t>
        </is>
      </c>
      <c r="Q10" s="10" t="inlineStr">
        <is>
          <t>Compilación final: 232 páginas; sin undefined/fatal; revisión visual p.25. PDF SHA-256 A725AA2916F3739B1680E70EA5735A6D093B566BCDB8A6509D6B96A1F74251BB.</t>
        </is>
      </c>
      <c r="R10" s="10" t="inlineStr">
        <is>
          <t>No revisado</t>
        </is>
      </c>
      <c r="S10" s="10" t="inlineStr">
        <is>
          <t>Pendiente revisión final</t>
        </is>
      </c>
      <c r="T10" s="10" t="str"/>
      <c r="U10" s="10" t="str"/>
    </row>
    <row r="11" ht="34" customHeight="1">
      <c r="A11" s="10" t="n">
        <v>10</v>
      </c>
      <c r="B11" s="10" t="inlineStr">
        <is>
          <t>Alta</t>
        </is>
      </c>
      <c r="C11" s="10" t="inlineStr">
        <is>
          <t>Coherencia</t>
        </is>
      </c>
      <c r="D11" s="10" t="inlineStr">
        <is>
          <t>13.8 (pp.128–129), 10.7.2 (p.96), 13.10 (p.132)</t>
        </is>
      </c>
      <c r="E11" s="10" t="inlineStr">
        <is>
          <t>Aparecen elementos que no están en alcance, requerimientos ni capacidades: chat contextual con LLM ('mock', Qwen, recurso pfi-llm-qwen-v2), Grad-CAM, export PDF/JSON, Demo Mode, '67B2/67C' y flags como productEnabled=false. Contrastan con el énfasis en 'no LLM' (7.10.4, p.48) y no se definen en el cuerpo.</t>
        </is>
      </c>
      <c r="F11" s="10" t="inlineStr">
        <is>
          <t>Incorporarlos formalmente (alcance, RF, capacidad) o retirarlos. Definir Demo Mode y los códigos internos.</t>
        </is>
      </c>
      <c r="G11" s="10" t="inlineStr">
        <is>
          <t>Lectura del documento</t>
        </is>
      </c>
      <c r="H11" s="10" t="inlineStr">
        <is>
          <t>Pendiente</t>
        </is>
      </c>
      <c r="I11" s="10" t="inlineStr">
        <is>
          <t>En investigación</t>
        </is>
      </c>
      <c r="J11" s="10" t="inlineStr">
        <is>
          <t>Parcial</t>
        </is>
      </c>
      <c r="K11" s="10" t="inlineStr">
        <is>
          <t>Alcance y capacidades</t>
        </is>
      </c>
      <c r="L11" s="10" t="inlineStr">
        <is>
          <t>Gestionador LaTeX; Backend; Frontend; AI Module</t>
        </is>
      </c>
      <c r="M11" s="10" t="inlineStr">
        <is>
          <t>chapters/capitulo_09_requerimientos.tex; chapters/capitulo_10_diseno_arquitectura.tex; chapters/capitulo_11_capacidades_prototipo.tex; chapters/capitulo_13_resultados_evaluacion.tex</t>
        </is>
      </c>
      <c r="N11" s="10" t="inlineStr">
        <is>
          <t>El capítulo 11 documenta Demo Mode, exportación PDF/JSON, Grad-CAM experimental, 67B2/67C y chat mock/Qwen como capacidades con estados diferenciados. Falta revisar trazabilidad formal a alcance/RF y la frase de exclusión de LLM.</t>
        </is>
      </c>
      <c r="O11" s="10" t="inlineStr">
        <is>
          <t>Cruzar cada elemento con alcance, RF y código; resolver solo los casos sin definición/estado consistente.</t>
        </is>
      </c>
      <c r="P11" s="10" t="str"/>
      <c r="Q11" s="10" t="inlineStr">
        <is>
          <t>No se modificó el alcance ni se verificó proveedor productivo.</t>
        </is>
      </c>
      <c r="R11" s="10" t="inlineStr">
        <is>
          <t>No revisado</t>
        </is>
      </c>
      <c r="S11" s="10" t="str"/>
      <c r="T11" s="10" t="str"/>
      <c r="U11" s="10" t="str"/>
    </row>
    <row r="12" ht="34" customHeight="1">
      <c r="A12" s="10" t="n">
        <v>11</v>
      </c>
      <c r="B12" s="10" t="inlineStr">
        <is>
          <t>Alta</t>
        </is>
      </c>
      <c r="C12" s="10" t="inlineStr">
        <is>
          <t>Coherencia</t>
        </is>
      </c>
      <c r="D12" s="10" t="inlineStr">
        <is>
          <t>13.2 (p.125), 11.4 (p.106), 13.5 (p.127)</t>
        </is>
      </c>
      <c r="E12" s="10" t="inlineStr">
        <is>
          <t>Módulo axial: conteos de entrenamiento 'pendientes de recuperación', 'dos particiones que no coinciden' y partición de prueba ya usada antes. Los '81/102 casos' no cuadran con 515 pacientes y 1.545 máscaras (6.3.3). Hay riesgo de fuga y la evaluación no es reproducible.</t>
        </is>
      </c>
      <c r="F12" s="10" t="inlineStr">
        <is>
          <t>Reconstruir la partición o reevaluar con un split documentado (por paciente, con semilla) y publicar conteos.</t>
        </is>
      </c>
      <c r="G12" s="10" t="inlineStr">
        <is>
          <t>Lectura del documento</t>
        </is>
      </c>
      <c r="H12" s="10" t="inlineStr">
        <is>
          <t>Pendiente</t>
        </is>
      </c>
      <c r="I12" s="10" t="inlineStr">
        <is>
          <t>Corrección aplicada</t>
        </is>
      </c>
      <c r="J12" s="10" t="inlineStr">
        <is>
          <t>Sí</t>
        </is>
      </c>
      <c r="K12" s="10" t="inlineStr">
        <is>
          <t>Metodología de evaluación axial</t>
        </is>
      </c>
      <c r="L12" s="10" t="inlineStr">
        <is>
          <t>Gestionador LaTeX; AI Module</t>
        </is>
      </c>
      <c r="M12" s="10" t="inlineStr">
        <is>
          <t>chapters/capitulo_13_resultados_evaluacion.tex §13.2; chapters/capitulo_11_capacidades_prototipo.tex §11.4; artifacts/manifests y cuaderno axial por localizar</t>
        </is>
      </c>
      <c r="N12" s="10" t="inlineStr">
        <is>
          <t>H11-A: 610 registros/184 pacientes y hash CSV/manifest. H11-B (reporte anonimizado Colab): 610/610 imágenes y máscaras resueltas; 1.162 hashes sin error; cero grupos repetidos de imágenes/pares entre splits; 55 grupos de máscaras repetidas en 113 filas, todos dentro de mismo split/paciente. No demuestra alineación anatómica/semántica.</t>
        </is>
      </c>
      <c r="O12" s="10" t="inlineStr">
        <is>
          <t>Registrar H11-B como verificación de contenido adicional; conservar límites de test reutilizado y split histórico no aportado. No alterar métricas, manifest ni gate.</t>
        </is>
      </c>
      <c r="P12" s="10" t="inlineStr">
        <is>
          <t>461cd1a5a7efed8840f7008116e713208cda125a</t>
        </is>
      </c>
      <c r="Q12" s="10" t="inlineStr">
        <is>
          <t>QA: pdfLaTeX 25.12, Biber 2.21, pdfLaTeX, pdfLaTeX finalizaron con código 0; PDF de 232 páginas físicas. Sin referencias/citas indefinidas en main.log. H11-B límites conservados. git diff --check limpio en fuentes versionadas; auxiliares TeX excluidos.</t>
        </is>
      </c>
      <c r="R12" s="10" t="inlineStr">
        <is>
          <t>No revisado</t>
        </is>
      </c>
      <c r="S12" s="10" t="str"/>
      <c r="T12" s="10" t="str"/>
      <c r="U12" s="10" t="str"/>
    </row>
    <row r="13" ht="34" customHeight="1">
      <c r="A13" s="10" t="n">
        <v>12</v>
      </c>
      <c r="B13" s="10" t="inlineStr">
        <is>
          <t>Alta</t>
        </is>
      </c>
      <c r="C13" s="10" t="inlineStr">
        <is>
          <t>Coherencia</t>
        </is>
      </c>
      <c r="D13" s="10" t="inlineStr">
        <is>
          <t>5.3 (p.20), RV-01 (p.76), 13.4 (p.127), E.3 (p.189), 13.12 (p.136)</t>
        </is>
      </c>
      <c r="E13" s="10" t="inlineStr">
        <is>
          <t>Se exige IoU como control 'no configurable', pero la Tabla 13.2 solo informa Dice. HD95 y NSD se desarrollan en 7.9 (pp.46–47) y no se usan. El proyecto incumple su propio criterio de promoción.</t>
        </is>
      </c>
      <c r="F13" s="10" t="inlineStr">
        <is>
          <t>Reportar IoU (y por clase) y, si es posible, HD95. Si no, recortar 7.9 y el objetivo.</t>
        </is>
      </c>
      <c r="G13" s="10" t="inlineStr">
        <is>
          <t>Lectura del documento</t>
        </is>
      </c>
      <c r="H13" s="10" t="inlineStr">
        <is>
          <t>Pendiente</t>
        </is>
      </c>
      <c r="I13" s="10" t="inlineStr">
        <is>
          <t>Confirmado</t>
        </is>
      </c>
      <c r="J13" s="10" t="inlineStr">
        <is>
          <t>Parcial</t>
        </is>
      </c>
      <c r="K13" s="10" t="inlineStr">
        <is>
          <t>Métricas y criterio de promoción</t>
        </is>
      </c>
      <c r="L13" s="10" t="inlineStr">
        <is>
          <t>Gestionador LaTeX; AI Module</t>
        </is>
      </c>
      <c r="M13" s="10" t="inlineStr">
        <is>
          <t>chapters/capitulo_13_resultados_evaluacion.tex §§13.2–13.4; chapters/capitulo_07_marco_teorico.tex §7.9</t>
        </is>
      </c>
      <c r="N13" s="10" t="inlineStr">
        <is>
          <t>H12: manifiestos/model cards contienen IoU agregada axial (test 0.56997 foreground; 0.69154 excluyendo raw_0) y sagital (0.8080 macro no-background). No se encontró HD95/NSD reportado en manifiestos ni model cards.</t>
        </is>
      </c>
      <c r="O13" s="10" t="inlineStr">
        <is>
          <t>Mantener IoU vinculada a modelo, split y agregación. Declarar HD95/NSD no calculados; no inventar valores.</t>
        </is>
      </c>
      <c r="P13" s="10" t="str"/>
      <c r="Q13" s="10" t="inlineStr">
        <is>
          <t>Datos de evaluación fuente pendientes; no se recalcularon métricas.</t>
        </is>
      </c>
      <c r="R13" s="10" t="inlineStr">
        <is>
          <t>No revisado</t>
        </is>
      </c>
      <c r="S13" s="10" t="str"/>
      <c r="T13" s="10" t="str"/>
      <c r="U13" s="10" t="str"/>
    </row>
    <row r="14" ht="34" customHeight="1">
      <c r="A14" s="10" t="n">
        <v>13</v>
      </c>
      <c r="B14" s="10" t="inlineStr">
        <is>
          <t>Alta</t>
        </is>
      </c>
      <c r="C14" s="10" t="inlineStr">
        <is>
          <t>Mejora</t>
        </is>
      </c>
      <c r="D14" s="10" t="inlineStr">
        <is>
          <t>14.1, 14.8–14.10 (pp.138, 145–147)</t>
        </is>
      </c>
      <c r="E14" s="10" t="inlineStr">
        <is>
          <t>El modelo financiero no es reproducible. No se cuantifican altas mensuales, churn, estudios por cliente ni CAPEX. La tasa del 25 % aparece recién en 14.10. Hay '13,41 clientes activos'. La planilla fuente no se adjunta.</t>
        </is>
      </c>
      <c r="F14" s="10" t="inlineStr">
        <is>
          <t>Tabla de supuestos, anexar el libro de cálculo y explicar o redondear valores fraccionarios.</t>
        </is>
      </c>
      <c r="G14" s="10" t="inlineStr">
        <is>
          <t>Lectura del documento</t>
        </is>
      </c>
      <c r="H14" s="10" t="inlineStr">
        <is>
          <t>Pendiente</t>
        </is>
      </c>
      <c r="I14" s="10" t="inlineStr">
        <is>
          <t>Corrección aplicada</t>
        </is>
      </c>
      <c r="J14" s="10" t="inlineStr">
        <is>
          <t>Parcial</t>
        </is>
      </c>
      <c r="K14" s="10" t="inlineStr">
        <is>
          <t>Modelo económico</t>
        </is>
      </c>
      <c r="L14" s="10" t="inlineStr">
        <is>
          <t>Gestionador LaTeX</t>
        </is>
      </c>
      <c r="M14" s="10" t="inlineStr">
        <is>
          <t>chapters/capitulo_15_modelo_negocio.tex; financial/MIRA_L_Modelo_Financiero_36M_Reconciliado_2026_con_payback_dinamico.xlsx; financial/PFI_RM_LUMBAR_FINANCIAL_MODEL_36M.xlsx</t>
        </is>
      </c>
      <c r="N14" s="10" t="inlineStr">
        <is>
          <t>El libro canónico reconciliado MIRA_L_Modelo_Financiero_36M_Reconciliado_2026_con_payback_dinamico.xlsx fue inspeccionado: supuestos/fórmulas en 01_SUPUESTOS y 04_BASE, resultados en 02_RESULTADOS. Se incorporó una tabla de entradas y una aclaración de que 13,41 clientes son equivalentes esperados matemáticos, no instituciones observadas. No hay ventas, clientes ni adquisición observada.</t>
        </is>
      </c>
      <c r="O14" s="10" t="inlineStr">
        <is>
          <t>Se transcribieron los supuestos verificados del libro canónico y se aclaró que los clientes fraccionarios son equivalentes esperados del modelo, no observaciones comerciales.</t>
        </is>
      </c>
      <c r="P14" s="10" t="inlineStr">
        <is>
          <t>643e657502440e933c59f1356e3beae1edd5df44</t>
        </is>
      </c>
      <c r="Q14" s="10" t="inlineStr">
        <is>
          <t>PDF recompilado: pdfLaTeX exit 0, 231 páginas; Biber 2.21 exit 0 en compilación limpia; sin referencias ni citas indefinidas. Revisión visual de tabla financiera (PDF p. 155).</t>
        </is>
      </c>
      <c r="R14" s="10" t="inlineStr">
        <is>
          <t>No revisado</t>
        </is>
      </c>
      <c r="S14" s="10" t="str"/>
      <c r="T14" s="10" t="str"/>
      <c r="U14" s="10" t="str"/>
    </row>
    <row r="15" ht="34" customHeight="1">
      <c r="A15" s="10" t="n">
        <v>14</v>
      </c>
      <c r="B15" s="10" t="inlineStr">
        <is>
          <t>Alta</t>
        </is>
      </c>
      <c r="C15" s="10" t="inlineStr">
        <is>
          <t>Mejora</t>
        </is>
      </c>
      <c r="D15" s="10" t="inlineStr">
        <is>
          <t>13.11 (p.132), H.2 (p.203), 8.3 (p.53), 6.7.4 (p.29), D.1 (p.169)</t>
        </is>
      </c>
      <c r="E15" s="10" t="inlineStr">
        <is>
          <t>La validación profesional se apoya en 'la reconstrucción de los autores': sin fecha, duración, lugar ni registro. Las dos profesionales ya habían sido entrevistadas (EN-01, EN-03). La Dra. Torres trabaja en Prenuvo (D.1), que se analiza como competidor (6.7.4) con datos de esa fuente y sin referencia.</t>
        </is>
      </c>
      <c r="F15" s="10" t="inlineStr">
        <is>
          <t>Registrar fechas, guion, consentimiento y evidencia (capturas/video). Declarar el conflicto de interés y citar a Prenuvo.</t>
        </is>
      </c>
      <c r="G15" s="10" t="inlineStr">
        <is>
          <t>Lectura del documento</t>
        </is>
      </c>
      <c r="H15" s="10" t="inlineStr">
        <is>
          <t>Pendiente</t>
        </is>
      </c>
      <c r="I15" s="10" t="inlineStr">
        <is>
          <t>Bloqueado por evidencia</t>
        </is>
      </c>
      <c r="J15" s="10" t="inlineStr">
        <is>
          <t>Parcial</t>
        </is>
      </c>
      <c r="K15" s="10" t="inlineStr">
        <is>
          <t>Validación profesional y ética</t>
        </is>
      </c>
      <c r="L15" s="10" t="inlineStr">
        <is>
          <t>Gestionador LaTeX</t>
        </is>
      </c>
      <c r="M15" s="10" t="inlineStr">
        <is>
          <t>chapters/capitulo_08_user_research.tex; chapters/capitulo_13_resultados_evaluacion.tex §13.11; appendices/anexo_d_entrevistas.tex; appendices/anexo_h_validacion_profesional.tex</t>
        </is>
      </c>
      <c r="N15" s="10" t="inlineStr">
        <is>
          <t>H14: Anexo D contiene transcripciones documentales de entrevistas; no equivale a audios originales ni acredita fecha, consentimiento o autorización de uso/publicación.</t>
        </is>
      </c>
      <c r="O15" s="10" t="inlineStr">
        <is>
          <t>Solicitar archivos originales de audio por sesión, registro fechado de cada sesión, consentimientos y autorizaciones de uso/publicación que correspondan.</t>
        </is>
      </c>
      <c r="P15" s="10" t="str"/>
      <c r="Q15" s="10" t="inlineStr">
        <is>
          <t>Bloqueado: faltan registros de sesiones fechados, consentimientos y autorizaciones; requiere evidencia documental externa al repositorio.</t>
        </is>
      </c>
      <c r="R15" s="10" t="inlineStr">
        <is>
          <t>No revisado</t>
        </is>
      </c>
      <c r="S15" s="10" t="str"/>
      <c r="T15" s="10" t="str"/>
      <c r="U15" s="10" t="str"/>
    </row>
    <row r="16" ht="34" customHeight="1">
      <c r="A16" s="10" t="n">
        <v>15</v>
      </c>
      <c r="B16" s="10" t="inlineStr">
        <is>
          <t>Alta</t>
        </is>
      </c>
      <c r="C16" s="10" t="inlineStr">
        <is>
          <t>Mejora</t>
        </is>
      </c>
      <c r="D16" s="10" t="inlineStr">
        <is>
          <t>13.8 (p.128)</t>
        </is>
      </c>
      <c r="E16" s="10" t="inlineStr">
        <is>
          <t>La suite del AI Module cierra con 479 pruebas aprobadas y 40 fallidas (≈7,7 %), explicadas como 'brechas ambientales'. El Backend omite 78.</t>
        </is>
      </c>
      <c r="F16" s="10" t="inlineStr">
        <is>
          <t>Corregir o aislar con skips justificados para presentar una suite verde y reproducible.</t>
        </is>
      </c>
      <c r="G16" s="10" t="inlineStr">
        <is>
          <t>Lectura del documento</t>
        </is>
      </c>
      <c r="H16" s="10" t="inlineStr">
        <is>
          <t>Pendiente</t>
        </is>
      </c>
      <c r="I16" s="10" t="inlineStr">
        <is>
          <t>Confirmado</t>
        </is>
      </c>
      <c r="J16" s="10" t="inlineStr">
        <is>
          <t>Sí</t>
        </is>
      </c>
      <c r="K16" s="10" t="inlineStr">
        <is>
          <t>QA de software</t>
        </is>
      </c>
      <c r="L16" s="10" t="inlineStr">
        <is>
          <t>Gestionador LaTeX; Backend; AI Module</t>
        </is>
      </c>
      <c r="M16" s="10" t="inlineStr">
        <is>
          <t>chapters/capitulo_13_resultados_evaluacion.tex §13.8; reportes de pruebas en repositorios Backend/AI</t>
        </is>
      </c>
      <c r="N16" s="10" t="inlineStr">
        <is>
          <t>La tabla de pruebas declara AI full suite 479 passed / 40 failed y explica que no es totalmente verde; la observación del tutor sobre fallos persistentes no queda resuelta por esa declaración. Los 78 del Backend requieren cotejo de reporte.</t>
        </is>
      </c>
      <c r="O16" s="10" t="inlineStr">
        <is>
          <t>Reproducir el comando/documento de suite; identificar cada fallo y si es ambiental, aislarlo con skip condicionado y razón, o reparar sin esconder fallos.</t>
        </is>
      </c>
      <c r="P16" s="10" t="str"/>
      <c r="Q16" s="10" t="inlineStr">
        <is>
          <t>No se ejecutaron suites en G1.</t>
        </is>
      </c>
      <c r="R16" s="10" t="inlineStr">
        <is>
          <t>No revisado</t>
        </is>
      </c>
      <c r="S16" s="10" t="str"/>
      <c r="T16" s="10" t="str"/>
      <c r="U16" s="10" t="str"/>
    </row>
    <row r="17" ht="34" customHeight="1">
      <c r="A17" s="10" t="n">
        <v>16</v>
      </c>
      <c r="B17" s="10" t="inlineStr">
        <is>
          <t>Media</t>
        </is>
      </c>
      <c r="C17" s="10" t="inlineStr">
        <is>
          <t>Duplicidad</t>
        </is>
      </c>
      <c r="D17" s="10" t="inlineStr">
        <is>
          <t>1. Introducción (p.15)</t>
        </is>
      </c>
      <c r="E17" s="10" t="inlineStr">
        <is>
          <t>El 2.º y 3.er párrafo ('La organización del documento avanza…') dicen lo mismo con redacción casi idéntica.</t>
        </is>
      </c>
      <c r="F17" s="10" t="inlineStr">
        <is>
          <t>Dejar uno.</t>
        </is>
      </c>
      <c r="G17" s="10" t="inlineStr">
        <is>
          <t>Lectura del documento</t>
        </is>
      </c>
      <c r="H17" s="10" t="inlineStr">
        <is>
          <t>Pendiente</t>
        </is>
      </c>
      <c r="I17" s="10" t="inlineStr">
        <is>
          <t>Cerrado con evidencia</t>
        </is>
      </c>
      <c r="J17" s="10" t="inlineStr">
        <is>
          <t>No</t>
        </is>
      </c>
      <c r="K17" s="10" t="inlineStr">
        <is>
          <t>Revisión editorial</t>
        </is>
      </c>
      <c r="L17" s="10" t="inlineStr">
        <is>
          <t>Gestionador LaTeX</t>
        </is>
      </c>
      <c r="M17" s="10" t="inlineStr">
        <is>
          <t>chapters/capitulo_01_introduccion.tex</t>
        </is>
      </c>
      <c r="N17" s="10" t="inlineStr">
        <is>
          <t>El capítulo contiene un solo párrafo de organización documental; la duplicación citada no se reproduce en el fuente actual.</t>
        </is>
      </c>
      <c r="O17" s="10" t="inlineStr">
        <is>
          <t>Cerrado con evidencia: la duplicación no aparece en el PDF final y el párrafo de organización documental aparece una sola vez en la página física 19.</t>
        </is>
      </c>
      <c r="P17" s="10" t="inlineStr">
        <is>
          <t>0454dc38ce0e12c3267e73b5fcb4b852c3cfde89</t>
        </is>
      </c>
      <c r="Q17" s="10" t="inlineStr">
        <is>
          <t>PDF recompilado: pdfLaTeX exit 0, 231 páginas; Biber 2.21 exit 0 en compilación limpia; sin referencias ni citas indefinidas. Revisión visual de tabla financiera (PDF p. 155).</t>
        </is>
      </c>
      <c r="R17" s="10" t="inlineStr">
        <is>
          <t>No revisado</t>
        </is>
      </c>
      <c r="S17" s="10" t="inlineStr">
        <is>
          <t>QA aprobado</t>
        </is>
      </c>
      <c r="T17" s="10" t="str"/>
      <c r="U17" s="10" t="str"/>
    </row>
    <row r="18" ht="34" customHeight="1">
      <c r="A18" s="10" t="n">
        <v>17</v>
      </c>
      <c r="B18" s="10" t="inlineStr">
        <is>
          <t>Media</t>
        </is>
      </c>
      <c r="C18" s="10" t="inlineStr">
        <is>
          <t>Duplicidad</t>
        </is>
      </c>
      <c r="D18" s="10" t="inlineStr">
        <is>
          <t>5.5–5.6 (p.21)</t>
        </is>
      </c>
      <c r="E18" s="10" t="inlineStr">
        <is>
          <t>Dos párrafos de cierre ('Este documento reúne…' / 'El documento final integra…'). El primero tiene estilo de título y falta el '5.6 Alcance del documento final' que lista el índice.</t>
        </is>
      </c>
      <c r="F18" s="10" t="inlineStr">
        <is>
          <t>Dejar uno bajo su título 5.6.</t>
        </is>
      </c>
      <c r="G18" s="10" t="inlineStr">
        <is>
          <t>Lectura del documento</t>
        </is>
      </c>
      <c r="H18" s="10" t="inlineStr">
        <is>
          <t>Pendiente</t>
        </is>
      </c>
      <c r="I18" s="10" t="inlineStr">
        <is>
          <t>Cerrado con evidencia</t>
        </is>
      </c>
      <c r="J18" s="10" t="inlineStr">
        <is>
          <t>No</t>
        </is>
      </c>
      <c r="K18" s="10" t="inlineStr">
        <is>
          <t>Revisión editorial</t>
        </is>
      </c>
      <c r="L18" s="10" t="inlineStr">
        <is>
          <t>Gestionador LaTeX</t>
        </is>
      </c>
      <c r="M18" s="10" t="inlineStr">
        <is>
          <t>chapters/capitulo_05_alcance.tex §5.6</t>
        </is>
      </c>
      <c r="N18" s="10" t="inlineStr">
        <is>
          <t>Existe el encabezado “Alcance del documento final” con un único párrafo; las dos frases citadas no aparecen en el fuente actual.</t>
        </is>
      </c>
      <c r="O18" s="10" t="inlineStr">
        <is>
          <t>Cerrado con evidencia: el encabezado 5.6 “Alcance del documento final” figura en el índice y en la página física 25; las dos frases duplicadas no aparecen en el PDF final.</t>
        </is>
      </c>
      <c r="P18" s="10" t="inlineStr">
        <is>
          <t>0454dc38ce0e12c3267e73b5fcb4b852c3cfde89</t>
        </is>
      </c>
      <c r="Q18" s="10" t="inlineStr">
        <is>
          <t>PDF recompilado: pdfLaTeX exit 0, 231 páginas; Biber 2.21 exit 0 en compilación limpia; sin referencias ni citas indefinidas. Revisión visual de tabla financiera (PDF p. 155).</t>
        </is>
      </c>
      <c r="R18" s="10" t="inlineStr">
        <is>
          <t>No revisado</t>
        </is>
      </c>
      <c r="S18" s="10" t="inlineStr">
        <is>
          <t>QA aprobado</t>
        </is>
      </c>
      <c r="T18" s="10" t="str"/>
      <c r="U18" s="10" t="str"/>
    </row>
    <row r="19" ht="34" customHeight="1">
      <c r="A19" s="10" t="n">
        <v>18</v>
      </c>
      <c r="B19" s="10" t="inlineStr">
        <is>
          <t>Media</t>
        </is>
      </c>
      <c r="C19" s="10" t="inlineStr">
        <is>
          <t>Duplicidad</t>
        </is>
      </c>
      <c r="D19" s="10" t="inlineStr">
        <is>
          <t>6.3.3 (p.24), 7.2.3 (p.39), Anexo C (p.167)</t>
        </is>
      </c>
      <c r="E19" s="10" t="inlineStr">
        <is>
          <t>El dataset Sudirman/Al-Kafri (515 pacientes, 5 anotadores, headers DICOM 0,6875 mm / 4 mm) se describe tres veces casi literal.</t>
        </is>
      </c>
      <c r="F19" s="10" t="inlineStr">
        <is>
          <t>Describirlo una vez y referenciar.</t>
        </is>
      </c>
      <c r="G19" s="10" t="inlineStr">
        <is>
          <t>Lectura del documento</t>
        </is>
      </c>
      <c r="H19" s="10" t="inlineStr">
        <is>
          <t>Pendiente</t>
        </is>
      </c>
      <c r="I19" s="10" t="inlineStr">
        <is>
          <t>Confirmado</t>
        </is>
      </c>
      <c r="J19" s="10" t="inlineStr">
        <is>
          <t>Sí</t>
        </is>
      </c>
      <c r="K19" s="10" t="inlineStr">
        <is>
          <t>Edición científica/documental</t>
        </is>
      </c>
      <c r="L19" s="10" t="inlineStr">
        <is>
          <t>Gestionador LaTeX</t>
        </is>
      </c>
      <c r="M19" s="10" t="inlineStr">
        <is>
          <t>chapters/capitulo_06_estado_del_arte.tex §§6.3.3–6.3.4; appendices/anexo_c_modulo_axial_preliminar.tex</t>
        </is>
      </c>
      <c r="N19" s="10" t="inlineStr">
        <is>
          <t>La descripción de población, secuencias y anotadores aparece en cuerpo y anexo; hay repetición parcial de especificaciones y cifras.</t>
        </is>
      </c>
      <c r="O19" s="10" t="inlineStr">
        <is>
          <t>Conservar una descripción principal y referenciarla desde el anexo, después de verificar los conteos en la fuente primaria.</t>
        </is>
      </c>
      <c r="P19" s="10" t="str"/>
      <c r="Q19" s="10" t="inlineStr">
        <is>
          <t>No evaluado</t>
        </is>
      </c>
      <c r="R19" s="10" t="inlineStr">
        <is>
          <t>No revisado</t>
        </is>
      </c>
      <c r="S19" s="10" t="str"/>
      <c r="T19" s="10" t="str"/>
      <c r="U19" s="10" t="str"/>
    </row>
    <row r="20" ht="34" customHeight="1">
      <c r="A20" s="10" t="n">
        <v>19</v>
      </c>
      <c r="B20" s="10" t="inlineStr">
        <is>
          <t>Media</t>
        </is>
      </c>
      <c r="C20" s="10" t="inlineStr">
        <is>
          <t>Duplicidad</t>
        </is>
      </c>
      <c r="D20" s="10" t="inlineStr">
        <is>
          <t>13.4–13.6 (p.127); 11.5 (p.108)</t>
        </is>
      </c>
      <c r="E20" s="10" t="inlineStr">
        <is>
          <t>Dos párrafos repiten la crítica al umbral. El párrafo sobre 'mediciones sin validación formal' está en 13.5, 13.6 y 11.5.</t>
        </is>
      </c>
      <c r="F20" s="10" t="inlineStr">
        <is>
          <t>Consolidar en un solo lugar.</t>
        </is>
      </c>
      <c r="G20" s="10" t="inlineStr">
        <is>
          <t>Lectura del documento</t>
        </is>
      </c>
      <c r="H20" s="10" t="inlineStr">
        <is>
          <t>Pendiente</t>
        </is>
      </c>
      <c r="I20" s="10" t="inlineStr">
        <is>
          <t>Confirmado</t>
        </is>
      </c>
      <c r="J20" s="10" t="inlineStr">
        <is>
          <t>Sí</t>
        </is>
      </c>
      <c r="K20" s="10" t="inlineStr">
        <is>
          <t>Edición de resultados</t>
        </is>
      </c>
      <c r="L20" s="10" t="inlineStr">
        <is>
          <t>Gestionador LaTeX</t>
        </is>
      </c>
      <c r="M20" s="10" t="inlineStr">
        <is>
          <t>chapters/capitulo_11_capacidades_prototipo.tex §11.5; chapters/capitulo_13_resultados_evaluacion.tex §§13.4–13.6</t>
        </is>
      </c>
      <c r="N20" s="10" t="inlineStr">
        <is>
          <t>La falta de validación profesional de mediciones y el contraste con rangos se reiteran en capacidades, resultados y limitaciones.</t>
        </is>
      </c>
      <c r="O20" s="10" t="inlineStr">
        <is>
          <t>Dejar explicación completa en resultados y usar referencias breves en capacidades/limitaciones.</t>
        </is>
      </c>
      <c r="P20" s="10" t="str"/>
      <c r="Q20" s="10" t="inlineStr">
        <is>
          <t>No evaluado</t>
        </is>
      </c>
      <c r="R20" s="10" t="inlineStr">
        <is>
          <t>No revisado</t>
        </is>
      </c>
      <c r="S20" s="10" t="str"/>
      <c r="T20" s="10" t="str"/>
      <c r="U20" s="10" t="str"/>
    </row>
    <row r="21" ht="34" customHeight="1">
      <c r="A21" s="10" t="n">
        <v>20</v>
      </c>
      <c r="B21" s="10" t="inlineStr">
        <is>
          <t>Media</t>
        </is>
      </c>
      <c r="C21" s="10" t="inlineStr">
        <is>
          <t>Duplicidad</t>
        </is>
      </c>
      <c r="D21" s="10" t="inlineStr">
        <is>
          <t>13.12 (pp.136–137)</t>
        </is>
      </c>
      <c r="E21" s="10" t="inlineStr">
        <is>
          <t>Seis viñetas y un párrafo con tres pares repetidos (conteos axiales, HD95, comparación diagnóstica).</t>
        </is>
      </c>
      <c r="F21" s="10" t="inlineStr">
        <is>
          <t>Reducir a 4 viñetas.</t>
        </is>
      </c>
      <c r="G21" s="10" t="inlineStr">
        <is>
          <t>Lectura del documento</t>
        </is>
      </c>
      <c r="H21" s="10" t="inlineStr">
        <is>
          <t>Pendiente</t>
        </is>
      </c>
      <c r="I21" s="10" t="inlineStr">
        <is>
          <t>Confirmado</t>
        </is>
      </c>
      <c r="J21" s="10" t="inlineStr">
        <is>
          <t>Parcial</t>
        </is>
      </c>
      <c r="K21" s="10" t="inlineStr">
        <is>
          <t>Edición de resultados</t>
        </is>
      </c>
      <c r="L21" s="10" t="inlineStr">
        <is>
          <t>Gestionador LaTeX</t>
        </is>
      </c>
      <c r="M21" s="10" t="inlineStr">
        <is>
          <t>chapters/capitulo_13_resultados_evaluacion.tex §13.12</t>
        </is>
      </c>
      <c r="N21" s="10" t="inlineStr">
        <is>
          <t>El cierre enumera límites que también se desarrollan por separado; hay solapamiento en partición axial, métricas y validación independiente.</t>
        </is>
      </c>
      <c r="O21" s="10" t="inlineStr">
        <is>
          <t>Consolidar sin eliminar límites distintos ni reducir una limitación con impacto metodológico.</t>
        </is>
      </c>
      <c r="P21" s="10" t="str"/>
      <c r="Q21" s="10" t="inlineStr">
        <is>
          <t>No evaluado</t>
        </is>
      </c>
      <c r="R21" s="10" t="inlineStr">
        <is>
          <t>No revisado</t>
        </is>
      </c>
      <c r="S21" s="10" t="str"/>
      <c r="T21" s="10" t="str"/>
      <c r="U21" s="10" t="str"/>
    </row>
    <row r="22" ht="34" customHeight="1">
      <c r="A22" s="10" t="n">
        <v>21</v>
      </c>
      <c r="B22" s="10" t="inlineStr">
        <is>
          <t>Media</t>
        </is>
      </c>
      <c r="C22" s="10" t="inlineStr">
        <is>
          <t>Duplicidad</t>
        </is>
      </c>
      <c r="D22" s="10" t="inlineStr">
        <is>
          <t>14.14–14.15 (pp.150–151)</t>
        </is>
      </c>
      <c r="E22" s="10" t="inlineStr">
        <is>
          <t>La lista numerada va '3, 2, 3, 4, 5, 6, 7, 10, 9, 10' (falta el 8 y hay ítems repetidos). Tres párrafos de cierre redundantes, uno con estilo de título.</t>
        </is>
      </c>
      <c r="F22" s="10" t="inlineStr">
        <is>
          <t>Renumerar, deduplicar y dejar un único cierre.</t>
        </is>
      </c>
      <c r="G22" s="10" t="inlineStr">
        <is>
          <t>Lectura del documento</t>
        </is>
      </c>
      <c r="H22" s="10" t="inlineStr">
        <is>
          <t>Pendiente</t>
        </is>
      </c>
      <c r="I22" s="10" t="inlineStr">
        <is>
          <t>Confirmado</t>
        </is>
      </c>
      <c r="J22" s="10" t="inlineStr">
        <is>
          <t>Sí</t>
        </is>
      </c>
      <c r="K22" s="10" t="inlineStr">
        <is>
          <t>Edición de modelo financiero</t>
        </is>
      </c>
      <c r="L22" s="10" t="inlineStr">
        <is>
          <t>Gestionador LaTeX</t>
        </is>
      </c>
      <c r="M22" s="10" t="inlineStr">
        <is>
          <t>chapters/capitulo_15_modelo_negocio.tex §§14.14–14.15 según índice fuente</t>
        </is>
      </c>
      <c r="N22" s="10" t="inlineStr">
        <is>
          <t>El hallazgo describe numeración y párrafos repetidos en el cierre financiero; requiere corregir lista y dejar una síntesis única.</t>
        </is>
      </c>
      <c r="O22" s="10" t="inlineStr">
        <is>
          <t>Revisar ítems contra el texto antes de renumerar; conservar conclusiones numéricas verificadas.</t>
        </is>
      </c>
      <c r="P22" s="10" t="str"/>
      <c r="Q22" s="10" t="inlineStr">
        <is>
          <t>No evaluado</t>
        </is>
      </c>
      <c r="R22" s="10" t="inlineStr">
        <is>
          <t>No revisado</t>
        </is>
      </c>
      <c r="S22" s="10" t="str"/>
      <c r="T22" s="10" t="str"/>
      <c r="U22" s="10" t="str"/>
    </row>
    <row r="23" ht="34" customHeight="1">
      <c r="A23" s="10" t="n">
        <v>22</v>
      </c>
      <c r="B23" s="10" t="inlineStr">
        <is>
          <t>Media</t>
        </is>
      </c>
      <c r="C23" s="10" t="inlineStr">
        <is>
          <t>Duplicidad</t>
        </is>
      </c>
      <c r="D23" s="10" t="inlineStr">
        <is>
          <t>10.7.1–10.7.3 (pp.94–97), 13.9 (pp.130–131), 12.3.1 (p.122)</t>
        </is>
      </c>
      <c r="E23" s="10" t="inlineStr">
        <is>
          <t>La configuración de V2, las aclaraciones V1/V2, la pausa del 23/09 y 'RUNNABLE/ALWAYS' se repiten 3 a 5 veces. El texto repite además la tabla 10.7.2.</t>
        </is>
      </c>
      <c r="F23" s="10" t="inlineStr">
        <is>
          <t>Una sola explicación V1/V2 con referencias cruzadas.</t>
        </is>
      </c>
      <c r="G23" s="10" t="inlineStr">
        <is>
          <t>Lectura del documento</t>
        </is>
      </c>
      <c r="H23" s="10" t="inlineStr">
        <is>
          <t>Pendiente</t>
        </is>
      </c>
      <c r="I23" s="10" t="inlineStr">
        <is>
          <t>Confirmado</t>
        </is>
      </c>
      <c r="J23" s="10" t="inlineStr">
        <is>
          <t>Sí</t>
        </is>
      </c>
      <c r="K23" s="10" t="inlineStr">
        <is>
          <t>Edición de arquitectura Cloud</t>
        </is>
      </c>
      <c r="L23" s="10" t="inlineStr">
        <is>
          <t>Gestionador LaTeX</t>
        </is>
      </c>
      <c r="M23" s="10" t="inlineStr">
        <is>
          <t>chapters/capitulo_10_diseno_arquitectura.tex §§10.7.1–10.7.3; chapters/capitulo_12_metodologia_validacion.tex; chapters/capitulo_13_resultados_evaluacion.tex §13.9</t>
        </is>
      </c>
      <c r="N23" s="10" t="inlineStr">
        <is>
          <t>V1/V2, la observación de RUNNABLE/ALWAYS y pausa/restauración V1 vuelven en varios lugares; parte de la repetición aclara alcances distintos.</t>
        </is>
      </c>
      <c r="O23" s="10" t="inlineStr">
        <is>
          <t>Mantener una explicación canónica V1/V2 y resumir el resto mediante referencias; no borrar distinciones de entorno.</t>
        </is>
      </c>
      <c r="P23" s="10" t="str"/>
      <c r="Q23" s="10" t="inlineStr">
        <is>
          <t>No evaluado</t>
        </is>
      </c>
      <c r="R23" s="10" t="inlineStr">
        <is>
          <t>No revisado</t>
        </is>
      </c>
      <c r="S23" s="10" t="str"/>
      <c r="T23" s="10" t="str"/>
      <c r="U23" s="10" t="str"/>
    </row>
    <row r="24" ht="34" customHeight="1">
      <c r="A24" s="10" t="n">
        <v>23</v>
      </c>
      <c r="B24" s="10" t="inlineStr">
        <is>
          <t>Media</t>
        </is>
      </c>
      <c r="C24" s="10" t="inlineStr">
        <is>
          <t>Duplicidad</t>
        </is>
      </c>
      <c r="D24" s="10" t="inlineStr">
        <is>
          <t>13.11 (pp.132–135) vs. Anexo H.3–H.6 (pp.204–208)</t>
        </is>
      </c>
      <c r="E24" s="10" t="inlineStr">
        <is>
          <t>La Tabla 13.5 es igual a la H.1. Fichas y síntesis repetidas. En H.4 hay viñetas duplicadas y su 'Limitaciones' copia el texto de H.5.</t>
        </is>
      </c>
      <c r="F24" s="10" t="inlineStr">
        <is>
          <t>Resumen en el cap. 13 y detalle en el Anexo H.</t>
        </is>
      </c>
      <c r="G24" s="10" t="inlineStr">
        <is>
          <t>Lectura del documento</t>
        </is>
      </c>
      <c r="H24" s="10" t="inlineStr">
        <is>
          <t>Pendiente</t>
        </is>
      </c>
      <c r="I24" s="10" t="inlineStr">
        <is>
          <t>Confirmado</t>
        </is>
      </c>
      <c r="J24" s="10" t="inlineStr">
        <is>
          <t>Sí</t>
        </is>
      </c>
      <c r="K24" s="10" t="inlineStr">
        <is>
          <t>Edición de validación profesional</t>
        </is>
      </c>
      <c r="L24" s="10" t="inlineStr">
        <is>
          <t>Gestionador LaTeX</t>
        </is>
      </c>
      <c r="M24" s="10" t="inlineStr">
        <is>
          <t>chapters/capitulo_13_resultados_evaluacion.tex §13.11; appendices/anexo_h_validacion_profesional.tex §§H.3–H.6</t>
        </is>
      </c>
      <c r="N24" s="10" t="inlineStr">
        <is>
          <t>Capítulo y Anexo H repiten tablas de sesiones, fichas y limitaciones; Anexo H debe ser el detalle y capítulo el resumen.</t>
        </is>
      </c>
      <c r="O24" s="10" t="inlineStr">
        <is>
          <t>Conservar síntesis en resultados y dejar fichas/evidencia en Anexo H; revisar duplicaciones internas del anexo.</t>
        </is>
      </c>
      <c r="P24" s="10" t="str"/>
      <c r="Q24" s="10" t="inlineStr">
        <is>
          <t>No evaluado</t>
        </is>
      </c>
      <c r="R24" s="10" t="inlineStr">
        <is>
          <t>No revisado</t>
        </is>
      </c>
      <c r="S24" s="10" t="str"/>
      <c r="T24" s="10" t="str"/>
      <c r="U24" s="10" t="str"/>
    </row>
    <row r="25" ht="34" customHeight="1">
      <c r="A25" s="10" t="n">
        <v>24</v>
      </c>
      <c r="B25" s="10" t="inlineStr">
        <is>
          <t>Media</t>
        </is>
      </c>
      <c r="C25" s="10" t="inlineStr">
        <is>
          <t>Duplicidad</t>
        </is>
      </c>
      <c r="D25" s="10" t="inlineStr">
        <is>
          <t>Transversal (pp.68–77 y otras)</t>
        </is>
      </c>
      <c r="E25" s="10" t="inlineStr">
        <is>
          <t>'Comparación diagnóstica independiente no realizada' aparece 15 veces. 'No equivale a validación clínica' aparece 13. 'No se documentó el cierre E2E global' figura en HU-07, HU-10, RF-09, RF-18 y la matriz.</t>
        </is>
      </c>
      <c r="F25" s="10" t="inlineStr">
        <is>
          <t>Una sección 'Límites de la evidencia' y referenciarla.</t>
        </is>
      </c>
      <c r="G25" s="10" t="inlineStr">
        <is>
          <t>Lectura del documento</t>
        </is>
      </c>
      <c r="H25" s="10" t="inlineStr">
        <is>
          <t>Pendiente</t>
        </is>
      </c>
      <c r="I25" s="10" t="inlineStr">
        <is>
          <t>Confirmado</t>
        </is>
      </c>
      <c r="J25" s="10" t="inlineStr">
        <is>
          <t>Parcial</t>
        </is>
      </c>
      <c r="K25" s="10" t="inlineStr">
        <is>
          <t>Edición de requerimientos y límites</t>
        </is>
      </c>
      <c r="L25" s="10" t="inlineStr">
        <is>
          <t>Gestionador LaTeX</t>
        </is>
      </c>
      <c r="M25" s="10" t="inlineStr">
        <is>
          <t>chapters/capitulo_09_requerimientos.tex; chapters/capitulo_13_resultados_evaluacion.tex §13.12</t>
        </is>
      </c>
      <c r="N25" s="10" t="inlineStr">
        <is>
          <t>La ausencia de comparación independiente y de validación clínica se expresa repetidamente; parte de esa reiteración protege contra interpretar métricas como evidencia clínica.</t>
        </is>
      </c>
      <c r="O25" s="10" t="inlineStr">
        <is>
          <t>Definir una explicación canónica y evitar suprimir advertencias locales necesarias para interpretar cada resultado.</t>
        </is>
      </c>
      <c r="P25" s="10" t="str"/>
      <c r="Q25" s="10" t="inlineStr">
        <is>
          <t>No evaluado</t>
        </is>
      </c>
      <c r="R25" s="10" t="inlineStr">
        <is>
          <t>No revisado</t>
        </is>
      </c>
      <c r="S25" s="10" t="str"/>
      <c r="T25" s="10" t="str"/>
      <c r="U25" s="10" t="str"/>
    </row>
    <row r="26" ht="34" customHeight="1">
      <c r="A26" s="10" t="n">
        <v>25</v>
      </c>
      <c r="B26" s="10" t="inlineStr">
        <is>
          <t>Media</t>
        </is>
      </c>
      <c r="C26" s="10" t="inlineStr">
        <is>
          <t>Duplicidad</t>
        </is>
      </c>
      <c r="D26" s="10" t="inlineStr">
        <is>
          <t>9.7 (pp.69–73), 10.4.3–10.5 (pp.86–87)</t>
        </is>
      </c>
      <c r="E26" s="10" t="inlineStr">
        <is>
          <t>RF-15 y RF-23 son casi idénticos y RF-05 y RF-25 se solapan. La frase 'La vista de procesos describe…' está duplicada. Patient/patientId/subjectRef se reexplica en 5.5, 8.6, 10.4.2, 11.9 y RNF-07.</t>
        </is>
      </c>
      <c r="F26" s="10" t="inlineStr">
        <is>
          <t>Fusionar RF y dejar una explicación del modelo Patient.</t>
        </is>
      </c>
      <c r="G26" s="10" t="inlineStr">
        <is>
          <t>Lectura del documento</t>
        </is>
      </c>
      <c r="H26" s="10" t="inlineStr">
        <is>
          <t>Pendiente</t>
        </is>
      </c>
      <c r="I26" s="10" t="inlineStr">
        <is>
          <t>Confirmado</t>
        </is>
      </c>
      <c r="J26" s="10" t="inlineStr">
        <is>
          <t>Sí</t>
        </is>
      </c>
      <c r="K26" s="10" t="inlineStr">
        <is>
          <t>Edición de requerimientos</t>
        </is>
      </c>
      <c r="L26" s="10" t="inlineStr">
        <is>
          <t>Gestionador LaTeX</t>
        </is>
      </c>
      <c r="M26" s="10" t="inlineStr">
        <is>
          <t>chapters/capitulo_09_requerimientos.tex §§9.7, 9.10; chapters/capitulo_10_diseno_arquitectura.tex §§10.4.2–10.5</t>
        </is>
      </c>
      <c r="N26" s="10" t="inlineStr">
        <is>
          <t>RF-15/RF-23 y RF-05/RF-25 presentan solapamiento; modelo Patient/subjectRef también se explica en varias secciones.</t>
        </is>
      </c>
      <c r="O26" s="10" t="inlineStr">
        <is>
          <t>Consolidar requisitos solo tras comparar criterios de aceptación y conservar toda trazabilidad ID.</t>
        </is>
      </c>
      <c r="P26" s="10" t="str"/>
      <c r="Q26" s="10" t="inlineStr">
        <is>
          <t>No evaluado</t>
        </is>
      </c>
      <c r="R26" s="10" t="inlineStr">
        <is>
          <t>No revisado</t>
        </is>
      </c>
      <c r="S26" s="10" t="str"/>
      <c r="T26" s="10" t="str"/>
      <c r="U26" s="10" t="str"/>
    </row>
    <row r="27" ht="34" customHeight="1">
      <c r="A27" s="10" t="n">
        <v>26</v>
      </c>
      <c r="B27" s="10" t="inlineStr">
        <is>
          <t>Media</t>
        </is>
      </c>
      <c r="C27" s="10" t="inlineStr">
        <is>
          <t>Coherencia</t>
        </is>
      </c>
      <c r="D27" s="10" t="inlineStr">
        <is>
          <t>9.1 (p.65), 10.8 (p.98), 11.8 (p.112), 14.2.1 (p.140), Anexo C (p.167), Anexo F (p.192)</t>
        </is>
      </c>
      <c r="E27" s="10" t="inlineStr">
        <is>
          <t>Referencias cruzadas erróneas. 9.1 dice que RF/RNF/RV 'conservan el significado del Cap. 8', que define N-xx/EN. 10.8 remite a 'vista de procesos (10.4.1)' y es la 10.5. 11.8 remite a 8.12 y es la 8.11.2. 14.2.1 dice que el human-in-the-loop está 'descrito en este capítulo' y está en 7.11.2. El Anexo C cita [5] (SPINEPS) para el dataset axial y es [3]. El Anexo F cita 'Tabla 9.1' y es F.1.</t>
        </is>
      </c>
      <c r="F27" s="10" t="inlineStr">
        <is>
          <t>Corregir.</t>
        </is>
      </c>
      <c r="G27" s="10" t="inlineStr">
        <is>
          <t>Lectura del documento</t>
        </is>
      </c>
      <c r="H27" s="10" t="inlineStr">
        <is>
          <t>Pendiente</t>
        </is>
      </c>
      <c r="I27" s="10" t="inlineStr">
        <is>
          <t>Confirmado</t>
        </is>
      </c>
      <c r="J27" s="10" t="inlineStr">
        <is>
          <t>Sí</t>
        </is>
      </c>
      <c r="K27" s="10" t="inlineStr">
        <is>
          <t>Referencias cruzadas</t>
        </is>
      </c>
      <c r="L27" s="10" t="inlineStr">
        <is>
          <t>Gestionador LaTeX</t>
        </is>
      </c>
      <c r="M27" s="10" t="inlineStr">
        <is>
          <t>chapters/capitulo_09_requerimientos.tex §9.1; chapters/capitulo_10_diseno_arquitectura.tex §10.8; chapters/capitulo_11_capacidades_prototipo.tex §11.8; chapters/capitulo_14_planificacion_academica.tex; appendices/anexo_c_modulo_axial_preliminar.tex; appendices/anexo_f_evolucion_tecnica.tex</t>
        </is>
      </c>
      <c r="N27" s="10" t="inlineStr">
        <is>
          <t>§10.8 remite a vista de procesos 10.4.1, mientras ese apartado está en 10.5; se detectan referencias cruzadas manuales adicionales en el listado del hallazgo.</t>
        </is>
      </c>
      <c r="O27" s="10" t="inlineStr">
        <is>
          <t>Migrar remisiones a labels automáticos y comprobar los destinos en PDF.</t>
        </is>
      </c>
      <c r="P27" s="10" t="str"/>
      <c r="Q27" s="10" t="inlineStr">
        <is>
          <t>No evaluado</t>
        </is>
      </c>
      <c r="R27" s="10" t="inlineStr">
        <is>
          <t>No revisado</t>
        </is>
      </c>
      <c r="S27" s="10" t="str"/>
      <c r="T27" s="10" t="str"/>
      <c r="U27" s="10" t="str"/>
    </row>
    <row r="28" ht="34" customHeight="1">
      <c r="A28" s="10" t="n">
        <v>27</v>
      </c>
      <c r="B28" s="10" t="inlineStr">
        <is>
          <t>Media</t>
        </is>
      </c>
      <c r="C28" s="10" t="inlineStr">
        <is>
          <t>Coherencia</t>
        </is>
      </c>
      <c r="D28" s="10" t="inlineStr">
        <is>
          <t>9.2 (p.65), 9.10 (pp.76–77)</t>
        </is>
      </c>
      <c r="E28" s="10" t="inlineStr">
        <is>
          <t>Se afirma que todo requerimiento nace de una necesidad, pero RF-11/12 citan 'alcance de seguridad' y RF-22 'estado del arte'. La matriz omite RF-22 a RF-25, RNF-02/08/10 y los RV.</t>
        </is>
      </c>
      <c r="F28" s="10" t="inlineStr">
        <is>
          <t>Completar la matriz y trazar cada RF.</t>
        </is>
      </c>
      <c r="G28" s="10" t="inlineStr">
        <is>
          <t>Lectura del documento</t>
        </is>
      </c>
      <c r="H28" s="10" t="inlineStr">
        <is>
          <t>Pendiente</t>
        </is>
      </c>
      <c r="I28" s="10" t="inlineStr">
        <is>
          <t>Confirmado</t>
        </is>
      </c>
      <c r="J28" s="10" t="inlineStr">
        <is>
          <t>Parcial</t>
        </is>
      </c>
      <c r="K28" s="10" t="inlineStr">
        <is>
          <t>Trazabilidad de requisitos</t>
        </is>
      </c>
      <c r="L28" s="10" t="inlineStr">
        <is>
          <t>Gestionador LaTeX</t>
        </is>
      </c>
      <c r="M28" s="10" t="inlineStr">
        <is>
          <t>chapters/capitulo_09_requerimientos.tex §§9.2, 9.10</t>
        </is>
      </c>
      <c r="N28" s="10" t="inlineStr">
        <is>
          <t>La regla “cada requerimiento nace de una necesidad” no describe bien requisitos derivados de seguridad/estado del arte; la matriz de trazabilidad debe cotejarse contra todas las filas del capítulo.</t>
        </is>
      </c>
      <c r="O28" s="10" t="inlineStr">
        <is>
          <t>Identificar la fuente de cada requisito y completar trazabilidad, sin atribuir una necesidad de usuario inexistente.</t>
        </is>
      </c>
      <c r="P28" s="10" t="str"/>
      <c r="Q28" s="10" t="inlineStr">
        <is>
          <t>No evaluado</t>
        </is>
      </c>
      <c r="R28" s="10" t="inlineStr">
        <is>
          <t>No revisado</t>
        </is>
      </c>
      <c r="S28" s="10" t="str"/>
      <c r="T28" s="10" t="str"/>
      <c r="U28" s="10" t="str"/>
    </row>
    <row r="29" ht="34" customHeight="1">
      <c r="A29" s="10" t="n">
        <v>28</v>
      </c>
      <c r="B29" s="10" t="inlineStr">
        <is>
          <t>Media</t>
        </is>
      </c>
      <c r="C29" s="10" t="inlineStr">
        <is>
          <t>Coherencia</t>
        </is>
      </c>
      <c r="D29" s="10" t="inlineStr">
        <is>
          <t>10.3 (p.80), 10.5.2 (p.89), 10.6.3 (pp.90–91) vs. 10.7.3 (p.97), ADR-007 (p.201)</t>
        </is>
      </c>
      <c r="E29" s="10" t="inlineStr">
        <is>
          <t>Google Cloud, Secret Manager y storage figuran como 'arquitectura objetivo / implementación planificada' y a la vez como 'Desplegado/validado'.</t>
        </is>
      </c>
      <c r="F29" s="10" t="inlineStr">
        <is>
          <t>Unificar en presente según el estado real.</t>
        </is>
      </c>
      <c r="G29" s="10" t="inlineStr">
        <is>
          <t>Lectura del documento</t>
        </is>
      </c>
      <c r="H29" s="10" t="inlineStr">
        <is>
          <t>Pendiente</t>
        </is>
      </c>
      <c r="I29" s="10" t="inlineStr">
        <is>
          <t>Confirmado</t>
        </is>
      </c>
      <c r="J29" s="10" t="inlineStr">
        <is>
          <t>Sí</t>
        </is>
      </c>
      <c r="K29" s="10" t="inlineStr">
        <is>
          <t>Estado de infraestructura</t>
        </is>
      </c>
      <c r="L29" s="10" t="inlineStr">
        <is>
          <t>Gestionador LaTeX</t>
        </is>
      </c>
      <c r="M29" s="10" t="inlineStr">
        <is>
          <t>chapters/capitulo_10_diseno_arquitectura.tex §§10.3, 10.5.2, 10.6.3, 10.7.3; ADR-007</t>
        </is>
      </c>
      <c r="N29" s="10" t="inlineStr">
        <is>
          <t>El capítulo mezcla arquitectura objetivo, planificada y despliegue/validación observados; el texto posterior identifica DEV V2 validado dentro de alcance base.</t>
        </is>
      </c>
      <c r="O29" s="10" t="inlineStr">
        <is>
          <t>Usar estados temporales precisos: diseñado, desplegado, probado y no productivo; enlazar evidencia de cada componente.</t>
        </is>
      </c>
      <c r="P29" s="10" t="str"/>
      <c r="Q29" s="10" t="inlineStr">
        <is>
          <t>No evaluado</t>
        </is>
      </c>
      <c r="R29" s="10" t="inlineStr">
        <is>
          <t>No revisado</t>
        </is>
      </c>
      <c r="S29" s="10" t="str"/>
      <c r="T29" s="10" t="str"/>
      <c r="U29" s="10" t="str"/>
    </row>
    <row r="30" ht="34" customHeight="1">
      <c r="A30" s="10" t="n">
        <v>29</v>
      </c>
      <c r="B30" s="10" t="inlineStr">
        <is>
          <t>Media</t>
        </is>
      </c>
      <c r="C30" s="10" t="inlineStr">
        <is>
          <t>Coherencia</t>
        </is>
      </c>
      <c r="D30" s="10" t="inlineStr">
        <is>
          <t>10.9.4 (p.101), 8.5 (p.54), 8.11.2 (p.60), 11.5 (p.107)</t>
        </is>
      </c>
      <c r="E30" s="10" t="inlineStr">
        <is>
          <t>No mostrar confianza numérica se justifica con 'las entrevistas lo señalaron', pero no consta en la Tabla 8.5. La encuesta lo ubica como 2.º requisito de confianza y el sistema calcula una 'confianza media'.</t>
        </is>
      </c>
      <c r="F30" s="10" t="inlineStr">
        <is>
          <t>Trazar la decisión y reconciliarla con la encuesta.</t>
        </is>
      </c>
      <c r="G30" s="10" t="inlineStr">
        <is>
          <t>Lectura del documento</t>
        </is>
      </c>
      <c r="H30" s="10" t="inlineStr">
        <is>
          <t>Pendiente</t>
        </is>
      </c>
      <c r="I30" s="10" t="inlineStr">
        <is>
          <t>Confirmado</t>
        </is>
      </c>
      <c r="J30" s="10" t="inlineStr">
        <is>
          <t>Sí</t>
        </is>
      </c>
      <c r="K30" s="10" t="inlineStr">
        <is>
          <t>Atribución de evidencia</t>
        </is>
      </c>
      <c r="L30" s="10" t="inlineStr">
        <is>
          <t>Gestionador LaTeX</t>
        </is>
      </c>
      <c r="M30" s="10" t="inlineStr">
        <is>
          <t>chapters/capitulo_10_diseno_arquitectura.tex §10.9.4; chapters/capitulo_08_user_research.tex tablas de encuesta/confianza; Anexo D</t>
        </is>
      </c>
      <c r="N30" s="10" t="inlineStr">
        <is>
          <t>Coincide con H53: la atribución plural de rechazo de confianza numérica no refleja las opiniones divergentes; además la encuesta valora confianza/transparencia.</t>
        </is>
      </c>
      <c r="O30" s="10" t="inlineStr">
        <is>
          <t>Resolver junto con H53 y distinguir puntaje calibrado de estado operativo.</t>
        </is>
      </c>
      <c r="P30" s="10" t="str"/>
      <c r="Q30" s="10" t="inlineStr">
        <is>
          <t>No evaluado</t>
        </is>
      </c>
      <c r="R30" s="10" t="inlineStr">
        <is>
          <t>No revisado</t>
        </is>
      </c>
      <c r="S30" s="10" t="str"/>
      <c r="T30" s="10" t="str"/>
      <c r="U30" s="10" t="str"/>
    </row>
    <row r="31" ht="34" customHeight="1">
      <c r="A31" s="10" t="n">
        <v>30</v>
      </c>
      <c r="B31" s="10" t="inlineStr">
        <is>
          <t>Media</t>
        </is>
      </c>
      <c r="C31" s="10" t="inlineStr">
        <is>
          <t>Coherencia</t>
        </is>
      </c>
      <c r="D31" s="10" t="inlineStr">
        <is>
          <t>5.3 (p.20), 8.6 (p.55), 12.5 (p.123), 13.10 (p.132)</t>
        </is>
      </c>
      <c r="E31" s="10" t="inlineStr">
        <is>
          <t>Cuatro esquemas distintos de 'niveles de validación': 3 bloques, 4, 9 capas y 6 niveles.</t>
        </is>
      </c>
      <c r="F31" s="10" t="inlineStr">
        <is>
          <t>Unificar en un único esquema.</t>
        </is>
      </c>
      <c r="G31" s="10" t="inlineStr">
        <is>
          <t>Lectura del documento</t>
        </is>
      </c>
      <c r="H31" s="10" t="inlineStr">
        <is>
          <t>Pendiente</t>
        </is>
      </c>
      <c r="I31" s="10" t="inlineStr">
        <is>
          <t>Confirmado</t>
        </is>
      </c>
      <c r="J31" s="10" t="inlineStr">
        <is>
          <t>Sí</t>
        </is>
      </c>
      <c r="K31" s="10" t="inlineStr">
        <is>
          <t>Metodología de validación</t>
        </is>
      </c>
      <c r="L31" s="10" t="inlineStr">
        <is>
          <t>Gestionador LaTeX</t>
        </is>
      </c>
      <c r="M31" s="10" t="inlineStr">
        <is>
          <t>chapters/capitulo_05_alcance.tex §5.3; chapters/capitulo_08_user_research.tex; chapters/capitulo_12_metodologia_validacion.tex; chapters/capitulo_13_resultados_evaluacion.tex</t>
        </is>
      </c>
      <c r="N31" s="10" t="inlineStr">
        <is>
          <t>Se organizan en distintos pasajes bloques de alcance, niveles técnicos, capas de prueba y tipos de validación, sin una única taxonomía común.</t>
        </is>
      </c>
      <c r="O31" s="10" t="inlineStr">
        <is>
          <t>Acordar un mapa de niveles con nombres y alcance explícitos y referenciarlo, distinguiéndolo de las capas de test.</t>
        </is>
      </c>
      <c r="P31" s="10" t="str"/>
      <c r="Q31" s="10" t="inlineStr">
        <is>
          <t>No evaluado</t>
        </is>
      </c>
      <c r="R31" s="10" t="inlineStr">
        <is>
          <t>No revisado</t>
        </is>
      </c>
      <c r="S31" s="10" t="str"/>
      <c r="T31" s="10" t="str"/>
      <c r="U31" s="10" t="str"/>
    </row>
    <row r="32" ht="34" customHeight="1">
      <c r="A32" s="10" t="n">
        <v>31</v>
      </c>
      <c r="B32" s="10" t="inlineStr">
        <is>
          <t>Media</t>
        </is>
      </c>
      <c r="C32" s="10" t="inlineStr">
        <is>
          <t>Coherencia</t>
        </is>
      </c>
      <c r="D32" s="10" t="inlineStr">
        <is>
          <t>8.11.1–8.11.2 (pp.59–60)</t>
        </is>
      </c>
      <c r="E32" s="10" t="inlineStr">
        <is>
          <t>Se excluyen perfiles ajenos al universo, pero se reportan 'residentes', no incluidos en su definición. No queda claro si las 167 respuestas son antes o después de depurar. No hay cuestionario ni n por ítem.</t>
        </is>
      </c>
      <c r="F32" s="10" t="inlineStr">
        <is>
          <t>Aclarar y anexar el cuestionario y datos agregados.</t>
        </is>
      </c>
      <c r="G32" s="10" t="inlineStr">
        <is>
          <t>Lectura del documento</t>
        </is>
      </c>
      <c r="H32" s="10" t="inlineStr">
        <is>
          <t>Pendiente</t>
        </is>
      </c>
      <c r="I32" s="10" t="inlineStr">
        <is>
          <t>Bloqueado por evidencia</t>
        </is>
      </c>
      <c r="J32" s="10" t="inlineStr">
        <is>
          <t>Parcial</t>
        </is>
      </c>
      <c r="K32" s="10" t="inlineStr">
        <is>
          <t>Encuesta y población</t>
        </is>
      </c>
      <c r="L32" s="10" t="inlineStr">
        <is>
          <t>Gestionador LaTeX</t>
        </is>
      </c>
      <c r="M32" s="10" t="inlineStr">
        <is>
          <t>chapters/capitulo_08_user_research.tex §§8.11.1–8.11.2; archivos fuente del cuestionario/datos por localizar</t>
        </is>
      </c>
      <c r="N32" s="10" t="inlineStr">
        <is>
          <t>H31: se localizaron imágenes insertadas de resultados de encuesta en images/user_research/fig_08_*.png y su presentación en capítulos; no se localizó exportación de respuestas ni tabla fuente de respuestas individuales. Los porcentajes/figuras no bastan para recomputar denominadores.</t>
        </is>
      </c>
      <c r="O32" s="10" t="inlineStr">
        <is>
          <t>Solicitar exportación original de respuestas (CSV/XLSX del formulario) con fecha/campos y versión del cuestionario; si no existe, mantener el bloqueo y no reconstruir respuestas desde las figuras.</t>
        </is>
      </c>
      <c r="P32" s="10" t="str"/>
      <c r="Q32" s="10" t="inlineStr">
        <is>
          <t>No evaluado</t>
        </is>
      </c>
      <c r="R32" s="10" t="inlineStr">
        <is>
          <t>No revisado</t>
        </is>
      </c>
      <c r="S32" s="10" t="str"/>
      <c r="T32" s="10" t="str"/>
      <c r="U32" s="10" t="str"/>
    </row>
    <row r="33" ht="34" customHeight="1">
      <c r="A33" s="10" t="n">
        <v>32</v>
      </c>
      <c r="B33" s="10" t="inlineStr">
        <is>
          <t>Media</t>
        </is>
      </c>
      <c r="C33" s="10" t="inlineStr">
        <is>
          <t>Coherencia</t>
        </is>
      </c>
      <c r="D33" s="10" t="inlineStr">
        <is>
          <t>6.10 y Tabla 6.3 (pp.31–32) vs. Tabla 6.5 (p.34); 6.7.5 (p.29), 6.13 (p.37)</t>
        </is>
      </c>
      <c r="E33" s="10" t="inlineStr">
        <is>
          <t>6.10 presenta el axial como 'validado', pero el FODA admite que no alcanza el umbral y que no hay registro validado entre secuencias (6.3.3 habla de co-registro nativo). 6.7.5 enumera 3 productos y 6.13 suma Prenuvo, sin referencia (6.2 promete solo fuentes verificables).</t>
        </is>
      </c>
      <c r="F33" s="10" t="inlineStr">
        <is>
          <t>Alinear los textos.</t>
        </is>
      </c>
      <c r="G33" s="10" t="inlineStr">
        <is>
          <t>Lectura del documento</t>
        </is>
      </c>
      <c r="H33" s="10" t="inlineStr">
        <is>
          <t>Pendiente</t>
        </is>
      </c>
      <c r="I33" s="10" t="inlineStr">
        <is>
          <t>Confirmado</t>
        </is>
      </c>
      <c r="J33" s="10" t="inlineStr">
        <is>
          <t>Sí</t>
        </is>
      </c>
      <c r="K33" s="10" t="inlineStr">
        <is>
          <t>Estado de evaluación axial</t>
        </is>
      </c>
      <c r="L33" s="10" t="inlineStr">
        <is>
          <t>Gestionador LaTeX</t>
        </is>
      </c>
      <c r="M33" s="10" t="inlineStr">
        <is>
          <t>chapters/capitulo_06_estado_del_arte.tex §6.10 y tabla de estado; chapters/capitulo_13_resultados_evaluacion.tex §§13.2–13.4</t>
        </is>
      </c>
      <c r="N33" s="10" t="inlineStr">
        <is>
          <t>El resultado axial está debajo del gate y no se considera baseline; el fuente también describe co-registro nativo T1/T2, afirmación distinta de registro entre SPIDER y dataset axial.</t>
        </is>
      </c>
      <c r="O33" s="10" t="inlineStr">
        <is>
          <t>Ajustar cualquier uso ambiguo de “validado” a “evaluado”; separar co-registro T1/T2 intra-dataset de registro multiplanar entre datasets.</t>
        </is>
      </c>
      <c r="P33" s="10" t="str"/>
      <c r="Q33" s="10" t="inlineStr">
        <is>
          <t>No evaluado</t>
        </is>
      </c>
      <c r="R33" s="10" t="inlineStr">
        <is>
          <t>No revisado</t>
        </is>
      </c>
      <c r="S33" s="10" t="str"/>
      <c r="T33" s="10" t="str"/>
      <c r="U33" s="10" t="str"/>
    </row>
    <row r="34" ht="34" customHeight="1">
      <c r="A34" s="10" t="n">
        <v>33</v>
      </c>
      <c r="B34" s="10" t="inlineStr">
        <is>
          <t>Media</t>
        </is>
      </c>
      <c r="C34" s="10" t="inlineStr">
        <is>
          <t>Coherencia</t>
        </is>
      </c>
      <c r="D34" s="10" t="inlineStr">
        <is>
          <t>7.2.3 (p.39), 7.3.2 (p.40), 10.6.2 (p.90), 10.4.2 (p.85), 10.3 (p.80), 11.3–11.4</t>
        </is>
      </c>
      <c r="E34" s="10" t="inlineStr">
        <is>
          <t>Terminología inconsistente: 'Sudirman', 'Al-Kafri', 'Sudirman y Al-Kafri' y 'alkafri' (7.2.3 dice 'Sudirman et al.' y el [3] es Al-Kafri et al.). AAP como 'área entre elementos…' y como 'región anteroposterior'. 'Vértebras' y 'cuerpos vertebrales'; 'saco tecal' y 'saco dural'. Estados de revisión: 'aceptado/observado/corregido/descartado' en 9.7, 'rechazado' en 10.4.2 y sin 'corregido' en 10.3.</t>
        </is>
      </c>
      <c r="F34" s="10" t="inlineStr">
        <is>
          <t>Glosario terminológico único.</t>
        </is>
      </c>
      <c r="G34" s="10" t="inlineStr">
        <is>
          <t>Lectura del documento</t>
        </is>
      </c>
      <c r="H34" s="10" t="inlineStr">
        <is>
          <t>Pendiente</t>
        </is>
      </c>
      <c r="I34" s="10" t="inlineStr">
        <is>
          <t>Confirmado</t>
        </is>
      </c>
      <c r="J34" s="10" t="inlineStr">
        <is>
          <t>Sí</t>
        </is>
      </c>
      <c r="K34" s="10" t="inlineStr">
        <is>
          <t>Terminología y estados</t>
        </is>
      </c>
      <c r="L34" s="10" t="inlineStr">
        <is>
          <t>Gestionador LaTeX</t>
        </is>
      </c>
      <c r="M34" s="10" t="inlineStr">
        <is>
          <t>chapters/capitulo_06_estado_del_arte.tex; chapters/capitulo_09_requerimientos.tex; chapters/capitulo_10_diseno_arquitectura.tex; chapters/capitulo_11_capacidades_prototipo.tex</t>
        </is>
      </c>
      <c r="N34" s="10" t="inlineStr">
        <is>
          <t>Se usan denominaciones variables para el dataset axial, regiones anatómicas y estados de revisión; el glosario contiene entradas relacionadas, pero no unifica todos los contratos.</t>
        </is>
      </c>
      <c r="O34" s="10" t="inlineStr">
        <is>
          <t>Definir términos preferidos y estados de revisión en glosario/contrato; armonizar el uso en prosa y tablas.</t>
        </is>
      </c>
      <c r="P34" s="10" t="str"/>
      <c r="Q34" s="10" t="inlineStr">
        <is>
          <t>No evaluado</t>
        </is>
      </c>
      <c r="R34" s="10" t="inlineStr">
        <is>
          <t>No revisado</t>
        </is>
      </c>
      <c r="S34" s="10" t="str"/>
      <c r="T34" s="10" t="str"/>
      <c r="U34" s="10" t="str"/>
    </row>
    <row r="35" ht="34" customHeight="1">
      <c r="A35" s="10" t="n">
        <v>34</v>
      </c>
      <c r="B35" s="10" t="inlineStr">
        <is>
          <t>Media</t>
        </is>
      </c>
      <c r="C35" s="10" t="inlineStr">
        <is>
          <t>Coherencia</t>
        </is>
      </c>
      <c r="D35" s="10" t="inlineStr">
        <is>
          <t>6.1, 6.3.2–6.3.3 (pp.22–25), 7.14 (p.50), 10.5.2 (p.89), 10.7.1 (p.94), 12.6 (p.124), Anexo F (p.195)</t>
        </is>
      </c>
      <c r="E35" s="10" t="inlineStr">
        <is>
          <t>Lenguaje de proceso y notas internas en un documento final: 'a diferencia de lo previsto en la propuesta inicial', 'entrega del 25 %', 'no corresponde describir V2 como pausado', 'congelados para el traspaso', 'revisión editorial antes de continuar con nuevos capítulos'.</t>
        </is>
      </c>
      <c r="F35" s="10" t="inlineStr">
        <is>
          <t>Reescribir en presente descriptivo y mover la historia al Anexo F o A.</t>
        </is>
      </c>
      <c r="G35" s="10" t="inlineStr">
        <is>
          <t>Lectura del documento</t>
        </is>
      </c>
      <c r="H35" s="10" t="inlineStr">
        <is>
          <t>Pendiente</t>
        </is>
      </c>
      <c r="I35" s="10" t="inlineStr">
        <is>
          <t>Confirmado</t>
        </is>
      </c>
      <c r="J35" s="10" t="inlineStr">
        <is>
          <t>Sí</t>
        </is>
      </c>
      <c r="K35" s="10" t="inlineStr">
        <is>
          <t>Edición de documento final</t>
        </is>
      </c>
      <c r="L35" s="10" t="inlineStr">
        <is>
          <t>Gestionador LaTeX</t>
        </is>
      </c>
      <c r="M35" s="10" t="inlineStr">
        <is>
          <t>chapters/capitulo_06_estado_del_arte.tex §6.3.2; chapters/capitulo_12_metodologia_validacion.tex §12.6; appendices/anexo_f_evolucion_tecnica.tex</t>
        </is>
      </c>
      <c r="N35" s="10" t="inlineStr">
        <is>
          <t>Se encuentran referencias a entregas previas, decisiones de proceso y frases de revisión editorial que no describen resultados actuales.</t>
        </is>
      </c>
      <c r="O35" s="10" t="inlineStr">
        <is>
          <t>Mover la historia necesaria a anexos cronológicos y convertir el resto en descripción del estado actual.</t>
        </is>
      </c>
      <c r="P35" s="10" t="str"/>
      <c r="Q35" s="10" t="inlineStr">
        <is>
          <t>No evaluado</t>
        </is>
      </c>
      <c r="R35" s="10" t="inlineStr">
        <is>
          <t>No revisado</t>
        </is>
      </c>
      <c r="S35" s="10" t="str"/>
      <c r="T35" s="10" t="str"/>
      <c r="U35" s="10" t="str"/>
    </row>
    <row r="36" ht="34" customHeight="1">
      <c r="A36" s="10" t="n">
        <v>35</v>
      </c>
      <c r="B36" s="10" t="inlineStr">
        <is>
          <t>Media</t>
        </is>
      </c>
      <c r="C36" s="10" t="inlineStr">
        <is>
          <t>Coherencia</t>
        </is>
      </c>
      <c r="D36" s="10" t="inlineStr">
        <is>
          <t>11.5 (p.108), 13.6 (p.127), 6.4.4 (p.26), 13.11.2 (p.133)</t>
        </is>
      </c>
      <c r="E36" s="10" t="inlineStr">
        <is>
          <t>Rangos de contraste sin cita (disco 8–12 mm, lordosis 40–60°, canal). Se compara la suma L1–L5 (36°) con la lordosis habitual (que se mide L1–S1). 6.4.4 afirma que 'la literatura clínica considera más informativas' las áreas sin citar (solo 7.8.2 cita [29]). Contradice la advertencia de la Dra. Cejas de verificar bibliográficamente.</t>
        </is>
      </c>
      <c r="F36" s="10" t="inlineStr">
        <is>
          <t>Citar los rangos o quitarlos, y corregir la comparación.</t>
        </is>
      </c>
      <c r="G36" s="10" t="inlineStr">
        <is>
          <t>Lectura del documento</t>
        </is>
      </c>
      <c r="H36" s="10" t="inlineStr">
        <is>
          <t>Pendiente</t>
        </is>
      </c>
      <c r="I36" s="10" t="inlineStr">
        <is>
          <t>Corrección aplicada</t>
        </is>
      </c>
      <c r="J36" s="10" t="inlineStr">
        <is>
          <t>Parcial</t>
        </is>
      </c>
      <c r="K36" s="10" t="inlineStr">
        <is>
          <t>Referencias anatómicas y clínicas</t>
        </is>
      </c>
      <c r="L36" s="10" t="inlineStr">
        <is>
          <t>Gestionador LaTeX</t>
        </is>
      </c>
      <c r="M36" s="10" t="inlineStr">
        <is>
          <t>chapters/capitulo_11_capacidades_prototipo.tex §11.5; chapters/capitulo_13_resultados_evaluacion.tex §13.6, Tabla 13.3; chapters/capitulo_07_marco_teorico.tex §7.8.2</t>
        </is>
      </c>
      <c r="N36" s="10" t="inlineStr">
        <is>
          <t>Se retiró la comparación directa de suma angular L1–L5 con rango global de lordosis. Fuentes distinguen métodos/segmentos; el contenido actual no incluye la afirmación de altura discal 8–12 mm.</t>
        </is>
      </c>
      <c r="O36" s="10" t="inlineStr">
        <is>
          <t>Usar mismos puntos anatómicos antes de cualquier comparación; no interpretar 36° como anormal.</t>
        </is>
      </c>
      <c r="P36" s="10" t="inlineStr">
        <is>
          <t>1126134521c79d5858b220c5a163e0dd7f84610e</t>
        </is>
      </c>
      <c r="Q36" s="10" t="inlineStr">
        <is>
          <t>PDF recompilado: pdfLaTeX exit 0, 231 páginas; Biber 2.21 exit 0 en compilación limpia; sin referencias ni citas indefinidas. Revisión visual de tabla financiera (PDF p. 155).</t>
        </is>
      </c>
      <c r="R36" s="10" t="inlineStr">
        <is>
          <t>No revisado</t>
        </is>
      </c>
      <c r="S36" s="10" t="str"/>
      <c r="T36" s="10" t="str"/>
      <c r="U36" s="10" t="str"/>
    </row>
    <row r="37" ht="34" customHeight="1">
      <c r="A37" s="10" t="n">
        <v>36</v>
      </c>
      <c r="B37" s="10" t="inlineStr">
        <is>
          <t>Media</t>
        </is>
      </c>
      <c r="C37" s="10" t="inlineStr">
        <is>
          <t>Coherencia</t>
        </is>
      </c>
      <c r="D37" s="10" t="inlineStr">
        <is>
          <t>6.4.1 (p.25), 7.7.4 (p.44), Tabla 6.4 (p.32), 13.3 (p.126)</t>
        </is>
      </c>
      <c r="E37" s="10" t="inlineStr">
        <is>
          <t>nnU-Net y SPINEPS se presentan como baseline/comparador, pero nunca se comparan. Tampoco se contrasta el 0,893 con valores publicados del benchmark SPIDER.</t>
        </is>
      </c>
      <c r="F37" s="10" t="inlineStr">
        <is>
          <t>Agregar la comparación o reformular el rol.</t>
        </is>
      </c>
      <c r="G37" s="10" t="inlineStr">
        <is>
          <t>Lectura del documento</t>
        </is>
      </c>
      <c r="H37" s="10" t="inlineStr">
        <is>
          <t>Pendiente</t>
        </is>
      </c>
      <c r="I37" s="10" t="inlineStr">
        <is>
          <t>Confirmado</t>
        </is>
      </c>
      <c r="J37" s="10" t="inlineStr">
        <is>
          <t>Sí</t>
        </is>
      </c>
      <c r="K37" s="10" t="inlineStr">
        <is>
          <t>Comparación de modelos</t>
        </is>
      </c>
      <c r="L37" s="10" t="inlineStr">
        <is>
          <t>Gestionador LaTeX</t>
        </is>
      </c>
      <c r="M37" s="10" t="inlineStr">
        <is>
          <t>chapters/capitulo_06_estado_del_arte.tex §6.4.1; chapters/capitulo_07_marco_teorico.tex §7.7.4; chapters/capitulo_13_resultados_evaluacion.tex §13.3</t>
        </is>
      </c>
      <c r="N37" s="10" t="inlineStr">
        <is>
          <t>SPINEPS/nnU-Net figuran como antecedentes o comparadores; el 0,893 informado proviene de la evaluación propia y no incluye comparación reproducida contra sus resultados.</t>
        </is>
      </c>
      <c r="O37" s="10" t="inlineStr">
        <is>
          <t>Presentarlos como antecedentes, no benchmark comparativo, salvo que se adopte partición/protocolo realmente comparable.</t>
        </is>
      </c>
      <c r="P37" s="10" t="str"/>
      <c r="Q37" s="10" t="inlineStr">
        <is>
          <t>No evaluado</t>
        </is>
      </c>
      <c r="R37" s="10" t="inlineStr">
        <is>
          <t>No revisado</t>
        </is>
      </c>
      <c r="S37" s="10" t="str"/>
      <c r="T37" s="10" t="str"/>
      <c r="U37" s="10" t="str"/>
    </row>
    <row r="38" ht="34" customHeight="1">
      <c r="A38" s="10" t="n">
        <v>37</v>
      </c>
      <c r="B38" s="10" t="inlineStr">
        <is>
          <t>Media</t>
        </is>
      </c>
      <c r="C38" s="10" t="inlineStr">
        <is>
          <t>Sintaxis</t>
        </is>
      </c>
      <c r="D38" s="10" t="inlineStr">
        <is>
          <t>7.9.2–7.9.4 (pp.46–47), 8.11.1 (p.59), 14.6 y 14.8 (pp.143, 145–146)</t>
        </is>
      </c>
      <c r="E38" s="10" t="inlineStr">
        <is>
          <t>Ecuaciones numeradas (8.1)–(8.3) en el cap. 7 y (8.1)–(8.2) otra vez en el cap. 8. Símbolos corruptos ('max´'), exponente perdido en la TIR anual y espacios rotos.</t>
        </is>
      </c>
      <c r="F38" s="10" t="inlineStr">
        <is>
          <t>Rehacer con editor de ecuaciones y numerar por capítulo.</t>
        </is>
      </c>
      <c r="G38" s="10" t="inlineStr">
        <is>
          <t>Lectura del documento</t>
        </is>
      </c>
      <c r="H38" s="10" t="inlineStr">
        <is>
          <t>Pendiente</t>
        </is>
      </c>
      <c r="I38" s="10" t="inlineStr">
        <is>
          <t>Confirmado</t>
        </is>
      </c>
      <c r="J38" s="10" t="inlineStr">
        <is>
          <t>Sí</t>
        </is>
      </c>
      <c r="K38" s="10" t="inlineStr">
        <is>
          <t>Ecuaciones y formato</t>
        </is>
      </c>
      <c r="L38" s="10" t="inlineStr">
        <is>
          <t>Gestionador LaTeX</t>
        </is>
      </c>
      <c r="M38" s="10" t="inlineStr">
        <is>
          <t>chapters/capitulo_07_marco_teorico.tex §§7.9.2–7.9.4; chapters/capitulo_08_user_research.tex §8.11.1; chapters/capitulo_15_modelo_negocio.tex §§14.6, 14.8</t>
        </is>
      </c>
      <c r="N38" s="10" t="inlineStr">
        <is>
          <t>Los números de ecuación se repiten por capítulo y hay símbolos/formatos reportados por el tutor que requieren inspección renderizada del PDF.</t>
        </is>
      </c>
      <c r="O38" s="10" t="inlineStr">
        <is>
          <t>Numerar ecuaciones por capítulo y verificar símbolos y exponentes visualmente antes del PDF de cierre.</t>
        </is>
      </c>
      <c r="P38" s="10" t="str"/>
      <c r="Q38" s="10" t="inlineStr">
        <is>
          <t>No evaluado</t>
        </is>
      </c>
      <c r="R38" s="10" t="inlineStr">
        <is>
          <t>No revisado</t>
        </is>
      </c>
      <c r="S38" s="10" t="str"/>
      <c r="T38" s="10" t="str"/>
      <c r="U38" s="10" t="str"/>
    </row>
    <row r="39" ht="34" customHeight="1">
      <c r="A39" s="10" t="n">
        <v>38</v>
      </c>
      <c r="B39" s="10" t="inlineStr">
        <is>
          <t>Media</t>
        </is>
      </c>
      <c r="C39" s="10" t="inlineStr">
        <is>
          <t>Sintaxis</t>
        </is>
      </c>
      <c r="D39" s="10" t="inlineStr">
        <is>
          <t>8.5–8.9 (pp.54–58), 9.3–9.10 (pp.65–77), 10.4–10.7 (pp.81–97), 13.8–13.9 (pp.128–131), 11.12 (p.119), Anexo F (p.195)</t>
        </is>
      </c>
      <c r="E39" s="10" t="inlineStr">
        <is>
          <t>Más de 20 tablas sin número ni título. 8.6 cita una 'Tabla 8.1' inexistente y la Lista de Tablas (p.13) está incompleta. Los títulos van unas veces arriba y otras abajo, y hay 'TABLA 14.1' en mayúsculas. La Tabla 10.7.2 repite columnas. La Tabla 11.5 tiene filas con el texto de estado en la columna 'Capacidad'. El Anexo F remite a 'la tabla siguiente', que no existe.</t>
        </is>
      </c>
      <c r="F39" s="10" t="inlineStr">
        <is>
          <t>Normalizar numeración, posición y estilo de títulos, y regenerar las listas.</t>
        </is>
      </c>
      <c r="G39" s="10" t="inlineStr">
        <is>
          <t>Lectura del documento</t>
        </is>
      </c>
      <c r="H39" s="10" t="inlineStr">
        <is>
          <t>Pendiente</t>
        </is>
      </c>
      <c r="I39" s="10" t="inlineStr">
        <is>
          <t>Confirmado</t>
        </is>
      </c>
      <c r="J39" s="10" t="inlineStr">
        <is>
          <t>Parcial</t>
        </is>
      </c>
      <c r="K39" s="10" t="inlineStr">
        <is>
          <t>Tablas e índices</t>
        </is>
      </c>
      <c r="L39" s="10" t="inlineStr">
        <is>
          <t>Gestionador LaTeX</t>
        </is>
      </c>
      <c r="M39" s="10" t="inlineStr">
        <is>
          <t>chapters/capitulo_08_user_research.tex; chapters/capitulo_09_requerimientos.tex; chapters/capitulo_10_diseno_arquitectura.tex; chapters/capitulo_11_capacidades_prototipo.tex; chapters/capitulo_13_resultados_evaluacion.tex; appendices/anexo_f_evolucion_tecnica.tex</t>
        </is>
      </c>
      <c r="N39" s="10" t="inlineStr">
        <is>
          <t>El fuente incluye tablas con y sin caption y el índice se genera desde captions; se reproduce el problema de referencias manuales y formato heterogéneo descrito por el tutor.</t>
        </is>
      </c>
      <c r="O39" s="10" t="inlineStr">
        <is>
          <t>Inventariar cada tabla, rotular y normalizar de forma consistente; reconstruir listas en compilación final.</t>
        </is>
      </c>
      <c r="P39" s="10" t="str"/>
      <c r="Q39" s="10" t="inlineStr">
        <is>
          <t>No evaluado</t>
        </is>
      </c>
      <c r="R39" s="10" t="inlineStr">
        <is>
          <t>No revisado</t>
        </is>
      </c>
      <c r="S39" s="10" t="str"/>
      <c r="T39" s="10" t="str"/>
      <c r="U39" s="10" t="str"/>
    </row>
    <row r="40" ht="34" customHeight="1">
      <c r="A40" s="10" t="n">
        <v>39</v>
      </c>
      <c r="B40" s="10" t="inlineStr">
        <is>
          <t>Media</t>
        </is>
      </c>
      <c r="C40" s="10" t="inlineStr">
        <is>
          <t>Sintaxis</t>
        </is>
      </c>
      <c r="D40" s="10" t="inlineStr">
        <is>
          <t>Índice (pp.3–10), 5.6 (p.21), 13.11.3 (p.135), 14.15 (p.150)</t>
        </is>
      </c>
      <c r="E40" s="10" t="inlineStr">
        <is>
          <t>Índice desactualizado. Falta el 10.2. Los títulos 6.12, 10.9, 14.4 y 14.9 difieren del cuerpo. En H.3/H.4 el índice dice 'Funciones mostradas…' y el cuerpo 'Recorrido demostrado…'. El Anexo C lista subtítulos inexistentes. Párrafos largos con estilo de título aparecen como entradas. La frase meta 'máximo de cuatro admitido por la cátedra' (p.3) sobra.</t>
        </is>
      </c>
      <c r="F40" s="10" t="inlineStr">
        <is>
          <t>Corregir estilos y actualizar el campo del índice.</t>
        </is>
      </c>
      <c r="G40" s="10" t="inlineStr">
        <is>
          <t>Lectura del documento</t>
        </is>
      </c>
      <c r="H40" s="10" t="inlineStr">
        <is>
          <t>Pendiente</t>
        </is>
      </c>
      <c r="I40" s="10" t="inlineStr">
        <is>
          <t>Confirmado</t>
        </is>
      </c>
      <c r="J40" s="10" t="inlineStr">
        <is>
          <t>Parcial</t>
        </is>
      </c>
      <c r="K40" s="10" t="inlineStr">
        <is>
          <t>Índice y jerarquía</t>
        </is>
      </c>
      <c r="L40" s="10" t="inlineStr">
        <is>
          <t>Gestionador LaTeX</t>
        </is>
      </c>
      <c r="M40" s="10" t="inlineStr">
        <is>
          <t>main.tex; chapters/capitulo_05_alcance.tex; chapters/capitulo_10_diseno_arquitectura.tex; chapters/capitulo_14_planificacion_academica.tex; appendices/anexo_c_modulo_axial_preliminar.tex; appendices/anexo_h_validacion_profesional.tex</t>
        </is>
      </c>
      <c r="N40" s="10" t="inlineStr">
        <is>
          <t>La estructura se genera desde headings, pero hay remisiones y títulos que deben cotejarse contra PDF; el texto fuente contiene al menos secciones de proceso no aptas como contenido final.</t>
        </is>
      </c>
      <c r="O40" s="10" t="inlineStr">
        <is>
          <t>Revisar niveles de headings, entradas de índice y títulos contra PDF recompilado, no editar números impresos manualmente.</t>
        </is>
      </c>
      <c r="P40" s="10" t="str"/>
      <c r="Q40" s="10" t="inlineStr">
        <is>
          <t>No evaluado</t>
        </is>
      </c>
      <c r="R40" s="10" t="inlineStr">
        <is>
          <t>No revisado</t>
        </is>
      </c>
      <c r="S40" s="10" t="str"/>
      <c r="T40" s="10" t="str"/>
      <c r="U40" s="10" t="str"/>
    </row>
    <row r="41" ht="34" customHeight="1">
      <c r="A41" s="10" t="n">
        <v>40</v>
      </c>
      <c r="B41" s="10" t="inlineStr">
        <is>
          <t>Media</t>
        </is>
      </c>
      <c r="C41" s="10" t="inlineStr">
        <is>
          <t>Sintaxis</t>
        </is>
      </c>
      <c r="D41" s="10" t="inlineStr">
        <is>
          <t>RNF-09 (p.75), 11.12 (p.119), 14.1 (p.138), 1 (p.15), 11.4 (p.106), 7.10 (p.47), 8.5 (p.54)</t>
        </is>
      </c>
      <c r="E41" s="10" t="inlineStr">
        <is>
          <t>Errores de redacción: 'no se dependen de paths internos', '..' al cierre de celda, falta de puntuación ('PFI_RM_LUMBAR_FINAL un libro…') y 'capítulo/Capítulo 13' inconsistente. Condicional ('la interfaz debería permitir') para funciones ya implementadas. Celdas que empiezan en minúscula (8.5).</t>
        </is>
      </c>
      <c r="F41" s="10" t="inlineStr">
        <is>
          <t>Corrección de estilo integral.</t>
        </is>
      </c>
      <c r="G41" s="10" t="inlineStr">
        <is>
          <t>Lectura del documento</t>
        </is>
      </c>
      <c r="H41" s="10" t="inlineStr">
        <is>
          <t>Pendiente</t>
        </is>
      </c>
      <c r="I41" s="10" t="inlineStr">
        <is>
          <t>Confirmado</t>
        </is>
      </c>
      <c r="J41" s="10" t="inlineStr">
        <is>
          <t>Sí</t>
        </is>
      </c>
      <c r="K41" s="10" t="inlineStr">
        <is>
          <t>Corrección de estilo</t>
        </is>
      </c>
      <c r="L41" s="10" t="inlineStr">
        <is>
          <t>Gestionador LaTeX</t>
        </is>
      </c>
      <c r="M41" s="10" t="inlineStr">
        <is>
          <t>chapters/capitulo_09_requerimientos.tex §9.9; chapters/capitulo_11_capacidades_prototipo.tex; chapters/capitulo_14_planificacion_academica.tex</t>
        </is>
      </c>
      <c r="N41" s="10" t="inlineStr">
        <is>
          <t>Se reproducen giros gramaticales internos (“no se dependen”) y estados en futuro condicional para capacidades descritas como implementadas.</t>
        </is>
      </c>
      <c r="O41" s="10" t="inlineStr">
        <is>
          <t>Corregir idioma/tiempos verbales tras verificar cada estado contra evidencia del repositorio.</t>
        </is>
      </c>
      <c r="P41" s="10" t="str"/>
      <c r="Q41" s="10" t="inlineStr">
        <is>
          <t>No evaluado</t>
        </is>
      </c>
      <c r="R41" s="10" t="inlineStr">
        <is>
          <t>No revisado</t>
        </is>
      </c>
      <c r="S41" s="10" t="str"/>
      <c r="T41" s="10" t="str"/>
      <c r="U41" s="10" t="str"/>
    </row>
    <row r="42" ht="34" customHeight="1">
      <c r="A42" s="10" t="n">
        <v>41</v>
      </c>
      <c r="B42" s="10" t="inlineStr">
        <is>
          <t>Media</t>
        </is>
      </c>
      <c r="C42" s="10" t="inlineStr">
        <is>
          <t>Sintaxis</t>
        </is>
      </c>
      <c r="D42" s="10" t="inlineStr">
        <is>
          <t>Caps. 9–13 (en general)</t>
        </is>
      </c>
      <c r="E42" s="10" t="inlineStr">
        <is>
          <t>Anglicismos y jerga interna sin definir: 'artifact' (≈76 veces), E2E (≈62), worklist, stack, hardening, fixtures, serving, overlay, full-series; códigos P10.9, FE-P8, 67B2/67C. Los estados en inglés (PARTIAL/IMPLEMENTED) de las Tablas 13.5/H.1 chocan con el español del cap. 9.</t>
        </is>
      </c>
      <c r="F42" s="10" t="inlineStr">
        <is>
          <t>Usar 'artefacto', ampliar el glosario y mover la nomenclatura interna a un anexo.</t>
        </is>
      </c>
      <c r="G42" s="10" t="inlineStr">
        <is>
          <t>Lectura del documento</t>
        </is>
      </c>
      <c r="H42" s="10" t="inlineStr">
        <is>
          <t>Pendiente</t>
        </is>
      </c>
      <c r="I42" s="10" t="inlineStr">
        <is>
          <t>Confirmado</t>
        </is>
      </c>
      <c r="J42" s="10" t="inlineStr">
        <is>
          <t>Parcial</t>
        </is>
      </c>
      <c r="K42" s="10" t="inlineStr">
        <is>
          <t>Glosario e idioma técnico</t>
        </is>
      </c>
      <c r="L42" s="10" t="inlineStr">
        <is>
          <t>Gestionador LaTeX</t>
        </is>
      </c>
      <c r="M42" s="10" t="inlineStr">
        <is>
          <t>chapters/capitulo_09_requerimientos.tex; chapters/capitulo_10_diseno_arquitectura.tex; chapters/capitulo_13_resultados_evaluacion.tex; appendices/anexo_b_glosario.tex</t>
        </is>
      </c>
      <c r="N42" s="10" t="inlineStr">
        <is>
          <t>Hay uso recurrente de anglicismos y códigos de implementación; las tablas mezclan estados en inglés con el cuerpo en español.</t>
        </is>
      </c>
      <c r="O42" s="10" t="inlineStr">
        <is>
          <t>Definir siglas y términos en primera aparición/glosario; mantener códigos internos solo donde aporten trazabilidad.</t>
        </is>
      </c>
      <c r="P42" s="10" t="str"/>
      <c r="Q42" s="10" t="inlineStr">
        <is>
          <t>No evaluado</t>
        </is>
      </c>
      <c r="R42" s="10" t="inlineStr">
        <is>
          <t>No revisado</t>
        </is>
      </c>
      <c r="S42" s="10" t="str"/>
      <c r="T42" s="10" t="str"/>
      <c r="U42" s="10" t="str"/>
    </row>
    <row r="43" ht="34" customHeight="1">
      <c r="A43" s="10" t="n">
        <v>42</v>
      </c>
      <c r="B43" s="10" t="inlineStr">
        <is>
          <t>Media</t>
        </is>
      </c>
      <c r="C43" s="10" t="inlineStr">
        <is>
          <t>Sintaxis</t>
        </is>
      </c>
      <c r="D43" s="10" t="inlineStr">
        <is>
          <t>Anexos A–H (pp.155–210)</t>
        </is>
      </c>
      <c r="E43" s="10" t="inlineStr">
        <is>
          <t>Rótulos inconsistentes ('Anexo A.' a F vs. 'Anexo G —' y 'H —'). Subsecciones sin numerar en C y F. Glosario no alfabético ('Archivo .ima' y '510(k)' al final, el primero todo en negrita). El Anexo C se titula 'Anatomía…' pero incluye origen y alcance del módulo axial. Viñeta huérfana al inicio del Anexo H (p.203).</t>
        </is>
      </c>
      <c r="F43" s="10" t="inlineStr">
        <is>
          <t>Homogeneizar rótulos y estructura.</t>
        </is>
      </c>
      <c r="G43" s="10" t="inlineStr">
        <is>
          <t>Lectura del documento</t>
        </is>
      </c>
      <c r="H43" s="10" t="inlineStr">
        <is>
          <t>Pendiente</t>
        </is>
      </c>
      <c r="I43" s="10" t="inlineStr">
        <is>
          <t>Confirmado</t>
        </is>
      </c>
      <c r="J43" s="10" t="inlineStr">
        <is>
          <t>Parcial</t>
        </is>
      </c>
      <c r="K43" s="10" t="inlineStr">
        <is>
          <t>Estructura de anexos</t>
        </is>
      </c>
      <c r="L43" s="10" t="inlineStr">
        <is>
          <t>Gestionador LaTeX</t>
        </is>
      </c>
      <c r="M43" s="10" t="inlineStr">
        <is>
          <t>appendices/anexo_a_glosario_tecnico.tex; appendices/anexo_b_glosario.tex; appendices/anexo_c_modulo_axial_preliminar.tex; appendices/anexo_f_evolucion_tecnica.tex; appendices/anexo_h_validacion_profesional.tex</t>
        </is>
      </c>
      <c r="N43" s="10" t="inlineStr">
        <is>
          <t>Los anexos siguen convenciones distintas de encabezado; C agrupa dataset, origen y alcance; validar viñeta huérfana en el PDF renderizado.</t>
        </is>
      </c>
      <c r="O43" s="10" t="inlineStr">
        <is>
          <t>Homogeneizar títulos/niveles y ordenar glosario; verificar la primera página del Anexo H en el PDF.</t>
        </is>
      </c>
      <c r="P43" s="10" t="str"/>
      <c r="Q43" s="10" t="inlineStr">
        <is>
          <t>No evaluado</t>
        </is>
      </c>
      <c r="R43" s="10" t="inlineStr">
        <is>
          <t>No revisado</t>
        </is>
      </c>
      <c r="S43" s="10" t="str"/>
      <c r="T43" s="10" t="str"/>
      <c r="U43" s="10" t="str"/>
    </row>
    <row r="44" ht="34" customHeight="1">
      <c r="A44" s="10" t="n">
        <v>43</v>
      </c>
      <c r="B44" s="10" t="inlineStr">
        <is>
          <t>Media</t>
        </is>
      </c>
      <c r="C44" s="10" t="inlineStr">
        <is>
          <t>Mejora</t>
        </is>
      </c>
      <c r="D44" s="10" t="inlineStr">
        <is>
          <t>12.1 (p.120), 10.6.1 (p.89)</t>
        </is>
      </c>
      <c r="E44" s="10" t="inlineStr">
        <is>
          <t>Se habla de 'un integrante / el otro' sin nombres. Autoría y aportes individuales no son explícitos.</t>
        </is>
      </c>
      <c r="F44" s="10" t="inlineStr">
        <is>
          <t>Tabla de roles y aportes por autor.</t>
        </is>
      </c>
      <c r="G44" s="10" t="inlineStr">
        <is>
          <t>Lectura del documento</t>
        </is>
      </c>
      <c r="H44" s="10" t="inlineStr">
        <is>
          <t>Pendiente</t>
        </is>
      </c>
      <c r="I44" s="10" t="inlineStr">
        <is>
          <t>Confirmado</t>
        </is>
      </c>
      <c r="J44" s="10" t="inlineStr">
        <is>
          <t>Sí</t>
        </is>
      </c>
      <c r="K44" s="10" t="inlineStr">
        <is>
          <t>Autoría y contribuciones</t>
        </is>
      </c>
      <c r="L44" s="10" t="inlineStr">
        <is>
          <t>Gestionador LaTeX</t>
        </is>
      </c>
      <c r="M44" s="10" t="inlineStr">
        <is>
          <t>chapters/capitulo_10_diseno_arquitectura.tex §10.6.1; chapters/capitulo_12_metodologia_validacion.tex §12.1</t>
        </is>
      </c>
      <c r="N44" s="10" t="inlineStr">
        <is>
          <t>Las referencias a “un integrante” y “el otro” no identifican autor ni explicitan aportes.</t>
        </is>
      </c>
      <c r="O44" s="10" t="inlineStr">
        <is>
          <t>Agregar tabla de contribuciones solo con evidencia de autoría verificable; evitar inferir roles personales.</t>
        </is>
      </c>
      <c r="P44" s="10" t="str"/>
      <c r="Q44" s="10" t="inlineStr">
        <is>
          <t>No evaluado</t>
        </is>
      </c>
      <c r="R44" s="10" t="inlineStr">
        <is>
          <t>No revisado</t>
        </is>
      </c>
      <c r="S44" s="10" t="str"/>
      <c r="T44" s="10" t="str"/>
      <c r="U44" s="10" t="str"/>
    </row>
    <row r="45" ht="34" customHeight="1">
      <c r="A45" s="10" t="n">
        <v>44</v>
      </c>
      <c r="B45" s="10" t="inlineStr">
        <is>
          <t>Media</t>
        </is>
      </c>
      <c r="C45" s="10" t="inlineStr">
        <is>
          <t>Mejora</t>
        </is>
      </c>
      <c r="D45" s="10" t="inlineStr">
        <is>
          <t>10.7.1–10.7.2 (pp.94–96), 13.9 (p.130)</t>
        </is>
      </c>
      <c r="E45" s="10" t="inlineStr">
        <is>
          <t>Se publican nombres de proyectos GCP, número de proyecto (1076511912623), revisiones, commits y usuario personal de GitHub. Los repositorios no figuran en Referencias y pueden ser privados. El detalle de facturación (presupuesto de USD 50, red IPv4) es excesivo.</t>
        </is>
      </c>
      <c r="F45" s="10" t="inlineStr">
        <is>
          <t>Retirar identificadores y agregar un anexo 'Disponibilidad de código y datos' (tags/hashes, licencia, instrucciones de reproducción).</t>
        </is>
      </c>
      <c r="G45" s="10" t="inlineStr">
        <is>
          <t>Lectura del documento</t>
        </is>
      </c>
      <c r="H45" s="10" t="inlineStr">
        <is>
          <t>Pendiente</t>
        </is>
      </c>
      <c r="I45" s="10" t="inlineStr">
        <is>
          <t>Confirmado</t>
        </is>
      </c>
      <c r="J45" s="10" t="inlineStr">
        <is>
          <t>Sí</t>
        </is>
      </c>
      <c r="K45" s="10" t="inlineStr">
        <is>
          <t>Disponibilidad y sanitización</t>
        </is>
      </c>
      <c r="L45" s="10" t="inlineStr">
        <is>
          <t>Gestionador LaTeX</t>
        </is>
      </c>
      <c r="M45" s="10" t="inlineStr">
        <is>
          <t>chapters/capitulo_10_diseno_arquitectura.tex §§10.7.1–10.7.2; chapters/capitulo_13_resultados_evaluacion.tex §13.9</t>
        </is>
      </c>
      <c r="N45" s="10" t="inlineStr">
        <is>
          <t>Se imprimen identificadores de proyectos, revisión y detalles de costo/configuración; el valor de reproducibilidad debe preservarse sin publicar secretos o datos personales innecesarios.</t>
        </is>
      </c>
      <c r="O45" s="10" t="inlineStr">
        <is>
          <t>Revisar qué identificadores son públicos/necesarios y trasladar hashes/licencias/instrucciones a una disponibilidad reproducible; nunca eliminar trazabilidad de evidencia.</t>
        </is>
      </c>
      <c r="P45" s="10" t="str"/>
      <c r="Q45" s="10" t="inlineStr">
        <is>
          <t>No evaluado</t>
        </is>
      </c>
      <c r="R45" s="10" t="inlineStr">
        <is>
          <t>No revisado</t>
        </is>
      </c>
      <c r="S45" s="10" t="str"/>
      <c r="T45" s="10" t="str"/>
      <c r="U45" s="10" t="str"/>
    </row>
    <row r="46" ht="34" customHeight="1">
      <c r="A46" s="10" t="n">
        <v>45</v>
      </c>
      <c r="B46" s="10" t="inlineStr">
        <is>
          <t>Media</t>
        </is>
      </c>
      <c r="C46" s="10" t="inlineStr">
        <is>
          <t>Mejora</t>
        </is>
      </c>
      <c r="D46" s="10" t="inlineStr">
        <is>
          <t>Agradecimientos (p.2), 8.3 (p.53), Anexo D (p.169)</t>
        </is>
      </c>
      <c r="E46" s="10" t="inlineStr">
        <is>
          <t>Se publican nombres, matrículas y transcripciones completas sin constancia de consentimiento. Se agradece a 2 de los 5 entrevistados y no a la Dra. Cejas (VP-02). Las fichas son heterogéneas y D.4 no repite la salvedad de 8.4 sobre la transcripción sin separación de hablantes.</t>
        </is>
      </c>
      <c r="F46" s="10" t="inlineStr">
        <is>
          <t>Anexar consentimiento, homogeneizar fichas y completar agradecimientos.</t>
        </is>
      </c>
      <c r="G46" s="10" t="inlineStr">
        <is>
          <t>Lectura del documento</t>
        </is>
      </c>
      <c r="H46" s="10" t="inlineStr">
        <is>
          <t>Pendiente</t>
        </is>
      </c>
      <c r="I46" s="10" t="inlineStr">
        <is>
          <t>Bloqueado por evidencia</t>
        </is>
      </c>
      <c r="J46" s="10" t="inlineStr">
        <is>
          <t>Parcial</t>
        </is>
      </c>
      <c r="K46" s="10" t="inlineStr">
        <is>
          <t>Privacidad y ética de entrevistas</t>
        </is>
      </c>
      <c r="L46" s="10" t="inlineStr">
        <is>
          <t>Gestionador LaTeX</t>
        </is>
      </c>
      <c r="M46" s="10" t="inlineStr">
        <is>
          <t>chapters/capitulo_08_user_research.tex §8.3; appendices/anexo_d_entrevistas.tex D.1–D.5; documentos de consentimiento por localizar</t>
        </is>
      </c>
      <c r="N46" s="10" t="inlineStr">
        <is>
          <t>H45: el Anexo D aporta transcripciones documentales, no audios originales ni metadatos verificables de sesión.</t>
        </is>
      </c>
      <c r="O46" s="10" t="inlineStr">
        <is>
          <t>Solicitar audio fuente de las entrevistas citadas y registro fechado que permita cotejar la transcripción; adjuntar consentimiento/autorización aplicable.</t>
        </is>
      </c>
      <c r="P46" s="10" t="str"/>
      <c r="Q46" s="10" t="inlineStr">
        <is>
          <t>No evaluado</t>
        </is>
      </c>
      <c r="R46" s="10" t="inlineStr">
        <is>
          <t>No revisado</t>
        </is>
      </c>
      <c r="S46" s="10" t="str"/>
      <c r="T46" s="10" t="str"/>
      <c r="U46" s="10" t="str"/>
    </row>
    <row r="47" ht="34" customHeight="1">
      <c r="A47" s="10" t="n">
        <v>46</v>
      </c>
      <c r="B47" s="10" t="inlineStr">
        <is>
          <t>Media</t>
        </is>
      </c>
      <c r="C47" s="10" t="inlineStr">
        <is>
          <t>Mejora</t>
        </is>
      </c>
      <c r="D47" s="10" t="inlineStr">
        <is>
          <t>Cap. 13 (pp.125–137)</t>
        </is>
      </c>
      <c r="E47" s="10" t="inlineStr">
        <is>
          <t>No hay figuras de resultados: ejemplos de segmentación contra referencia, casos de error, ni dispersión de Dice por paciente o clase. Una sola corrida, sin intervalos.</t>
        </is>
      </c>
      <c r="F47" s="10" t="inlineStr">
        <is>
          <t>Agregar figuras cualitativas, Dice por clase/paciente con IC (bootstrap) y análisis de error por nivel.</t>
        </is>
      </c>
      <c r="G47" s="10" t="inlineStr">
        <is>
          <t>Lectura del documento</t>
        </is>
      </c>
      <c r="H47" s="10" t="inlineStr">
        <is>
          <t>Pendiente</t>
        </is>
      </c>
      <c r="I47" s="10" t="inlineStr">
        <is>
          <t>Confirmado</t>
        </is>
      </c>
      <c r="J47" s="10" t="inlineStr">
        <is>
          <t>Sí</t>
        </is>
      </c>
      <c r="K47" s="10" t="inlineStr">
        <is>
          <t>Evidencia de resultados</t>
        </is>
      </c>
      <c r="L47" s="10" t="inlineStr">
        <is>
          <t>Gestionador LaTeX; AI Module</t>
        </is>
      </c>
      <c r="M47" s="10" t="inlineStr">
        <is>
          <t>chapters/capitulo_13_resultados_evaluacion.tex §§13.2–13.6; artifacts de evaluación por localizar</t>
        </is>
      </c>
      <c r="N47" s="10" t="inlineStr">
        <is>
          <t>Los resultados no ofrecen figuras de comparación máscara/referencia ni dispersión por paciente; tampoco se identificó un artefacto con intervalos de confianza/bootstrap en el documento auditado.</t>
        </is>
      </c>
      <c r="O47" s="10" t="inlineStr">
        <is>
          <t>Agregar solo visualizaciones y métricas reconstruibles desde predicciones/anotaciones verificables; no generar intervalos sin datos fuente.</t>
        </is>
      </c>
      <c r="P47" s="10" t="str"/>
      <c r="Q47" s="10" t="inlineStr">
        <is>
          <t>No evaluado</t>
        </is>
      </c>
      <c r="R47" s="10" t="inlineStr">
        <is>
          <t>No revisado</t>
        </is>
      </c>
      <c r="S47" s="10" t="str"/>
      <c r="T47" s="10" t="str"/>
      <c r="U47" s="10" t="str"/>
    </row>
    <row r="48" ht="34" customHeight="1">
      <c r="A48" s="10" t="n">
        <v>47</v>
      </c>
      <c r="B48" s="10" t="inlineStr">
        <is>
          <t>Media</t>
        </is>
      </c>
      <c r="C48" s="10" t="inlineStr">
        <is>
          <t>Mejora</t>
        </is>
      </c>
      <c r="D48" s="10" t="inlineStr">
        <is>
          <t>RNF-02 y RNF-10 (pp.74–75)</t>
        </is>
      </c>
      <c r="E48" s="10" t="inlineStr">
        <is>
          <t>Requerimientos no funcionales sin umbrales medibles.</t>
        </is>
      </c>
      <c r="F48" s="10" t="inlineStr">
        <is>
          <t>Definir metas (tiempo por estudio, tamaño máximo, disponibilidad) y verificarlas; 13.9 ya mide una mediana ≈19 s.</t>
        </is>
      </c>
      <c r="G48" s="10" t="inlineStr">
        <is>
          <t>Lectura del documento</t>
        </is>
      </c>
      <c r="H48" s="10" t="inlineStr">
        <is>
          <t>Pendiente</t>
        </is>
      </c>
      <c r="I48" s="10" t="inlineStr">
        <is>
          <t>Confirmado</t>
        </is>
      </c>
      <c r="J48" s="10" t="inlineStr">
        <is>
          <t>Sí</t>
        </is>
      </c>
      <c r="K48" s="10" t="inlineStr">
        <is>
          <t>Requisitos no funcionales</t>
        </is>
      </c>
      <c r="L48" s="10" t="inlineStr">
        <is>
          <t>Gestionador LaTeX</t>
        </is>
      </c>
      <c r="M48" s="10" t="inlineStr">
        <is>
          <t>chapters/capitulo_09_requerimientos.tex RNF-02 y RNF-10; chapters/capitulo_13_resultados_evaluacion.tex §13.9</t>
        </is>
      </c>
      <c r="N48" s="10" t="inlineStr">
        <is>
          <t>RNF-02/RNF-10 no fijan umbrales cuantitativos reproducibles; la mediana citada en resultados no se presenta como criterio de aceptación.</t>
        </is>
      </c>
      <c r="O48" s="10" t="inlineStr">
        <is>
          <t>Distinguir requisito medible de resultado observado; definir metas solo si la evidencia y el alcance las sostienen.</t>
        </is>
      </c>
      <c r="P48" s="10" t="str"/>
      <c r="Q48" s="10" t="inlineStr">
        <is>
          <t>No evaluado</t>
        </is>
      </c>
      <c r="R48" s="10" t="inlineStr">
        <is>
          <t>No revisado</t>
        </is>
      </c>
      <c r="S48" s="10" t="str"/>
      <c r="T48" s="10" t="str"/>
      <c r="U48" s="10" t="str"/>
    </row>
    <row r="49" ht="34" customHeight="1">
      <c r="A49" s="10" t="n">
        <v>48</v>
      </c>
      <c r="B49" s="10" t="inlineStr">
        <is>
          <t>Baja</t>
        </is>
      </c>
      <c r="C49" s="10" t="inlineStr">
        <is>
          <t>Coherencia</t>
        </is>
      </c>
      <c r="D49" s="10" t="inlineStr">
        <is>
          <t>14.5, 14.11, 14.12 (pp.142, 148)</t>
        </is>
      </c>
      <c r="E49" s="10" t="inlineStr">
        <is>
          <t>El barrido declarado (+10/12,5/15 %) no coincide con el aumento final (+15,6 a +16,7 % en cuotas). 'Varios órdenes de magnitud' (14.11) es en realidad ≈×390. TIR optimista de 541 % sin comentario. '1500' vs. '1.500'.</t>
        </is>
      </c>
      <c r="F49" s="10" t="inlineStr">
        <is>
          <t>Ajustar el texto y comentar los valores extremos.</t>
        </is>
      </c>
      <c r="G49" s="10" t="inlineStr">
        <is>
          <t>Lectura del documento</t>
        </is>
      </c>
      <c r="H49" s="10" t="inlineStr">
        <is>
          <t>Pendiente</t>
        </is>
      </c>
      <c r="I49" s="10" t="inlineStr">
        <is>
          <t>Confirmado</t>
        </is>
      </c>
      <c r="J49" s="10" t="inlineStr">
        <is>
          <t>Parcial</t>
        </is>
      </c>
      <c r="K49" s="10" t="inlineStr">
        <is>
          <t>Consistencia financiera</t>
        </is>
      </c>
      <c r="L49" s="10" t="inlineStr">
        <is>
          <t>Gestionador LaTeX</t>
        </is>
      </c>
      <c r="M49" s="10" t="inlineStr">
        <is>
          <t>chapters/capitulo_15_modelo_negocio.tex §§14.5, 14.11–14.12; financial/</t>
        </is>
      </c>
      <c r="N49" s="10" t="inlineStr">
        <is>
          <t>La memoria apunta diferencias entre perturbaciones declaradas y aumentos observados, magnitud de costos y unidades; deben recalcularse con el libro canónico antes de ajustar textos.</t>
        </is>
      </c>
      <c r="O49" s="10" t="inlineStr">
        <is>
          <t>Reconciliar fórmulas y escenarios con workbook canónico, comentar valores extremos y normalizar formato numérico.</t>
        </is>
      </c>
      <c r="P49" s="10" t="str"/>
      <c r="Q49" s="10" t="inlineStr">
        <is>
          <t>No evaluado</t>
        </is>
      </c>
      <c r="R49" s="10" t="inlineStr">
        <is>
          <t>No revisado</t>
        </is>
      </c>
      <c r="S49" s="10" t="str"/>
      <c r="T49" s="10" t="str"/>
      <c r="U49" s="10" t="str"/>
    </row>
    <row r="50" ht="34" customHeight="1">
      <c r="A50" s="10" t="n">
        <v>49</v>
      </c>
      <c r="B50" s="10" t="inlineStr">
        <is>
          <t>Baja</t>
        </is>
      </c>
      <c r="C50" s="10" t="inlineStr">
        <is>
          <t>Mejora</t>
        </is>
      </c>
      <c r="D50" s="10" t="inlineStr">
        <is>
          <t>15.4 (p.154)</t>
        </is>
      </c>
      <c r="E50" s="10" t="inlineStr">
        <is>
          <t>Riesgos listados sin probabilidad, impacto ni mitigación.</t>
        </is>
      </c>
      <c r="F50" s="10" t="inlineStr">
        <is>
          <t>Matriz de riesgos.</t>
        </is>
      </c>
      <c r="G50" s="10" t="inlineStr">
        <is>
          <t>Lectura del documento</t>
        </is>
      </c>
      <c r="H50" s="10" t="inlineStr">
        <is>
          <t>Pendiente</t>
        </is>
      </c>
      <c r="I50" s="10" t="inlineStr">
        <is>
          <t>Confirmado</t>
        </is>
      </c>
      <c r="J50" s="10" t="inlineStr">
        <is>
          <t>Sí</t>
        </is>
      </c>
      <c r="K50" s="10" t="inlineStr">
        <is>
          <t>Riesgos de negocio</t>
        </is>
      </c>
      <c r="L50" s="10" t="inlineStr">
        <is>
          <t>Gestionador LaTeX</t>
        </is>
      </c>
      <c r="M50" s="10" t="inlineStr">
        <is>
          <t>chapters/capitulo_15_modelo_negocio.tex §15.4</t>
        </is>
      </c>
      <c r="N50" s="10" t="inlineStr">
        <is>
          <t>La sección enumera riesgos sin probabilidad, impacto ni mitigaciones comparables.</t>
        </is>
      </c>
      <c r="O50" s="10" t="inlineStr">
        <is>
          <t>Crear matriz cualitativa probabilidad-impacto-mitigación con supuestos declarados, sin asignar probabilidades cuantitativas inventadas.</t>
        </is>
      </c>
      <c r="P50" s="10" t="str"/>
      <c r="Q50" s="10" t="inlineStr">
        <is>
          <t>No evaluado</t>
        </is>
      </c>
      <c r="R50" s="10" t="inlineStr">
        <is>
          <t>No revisado</t>
        </is>
      </c>
      <c r="S50" s="10" t="str"/>
      <c r="T50" s="10" t="str"/>
      <c r="U50" s="10" t="str"/>
    </row>
    <row r="51" ht="34" customHeight="1">
      <c r="A51" s="10" t="n">
        <v>50</v>
      </c>
      <c r="B51" s="10" t="inlineStr">
        <is>
          <t>Baja</t>
        </is>
      </c>
      <c r="C51" s="10" t="inlineStr">
        <is>
          <t>Mejora</t>
        </is>
      </c>
      <c r="D51" s="10" t="inlineStr">
        <is>
          <t>Anexo B (pp.160–164), Referencias (p.211)</t>
        </is>
      </c>
      <c r="E51" s="10" t="inlineStr">
        <is>
          <t>Glosario sin términos usados (ADR, WIF/OIDC, Cloud Run, JWT, ROC-AUC, F1, Pfirrmann, Modic, MRR/ARR, VAN/TIR, churn, Demo Mode). Definiciones con afirmaciones sin cita ('plano axial óptimo', 'protrusión más recurrente'). Faltan fuentes para PyTorch, SimpleITK, FastAPI, Spring Boot, tarifas de GCP (14.7.1), Slicer/OHIF (6.8). Conviene verificar los DOIs de 2025–2026 ([2], [5], [9]).</t>
        </is>
      </c>
      <c r="F51" s="10" t="inlineStr">
        <is>
          <t>Ampliar glosario y bibliografía.</t>
        </is>
      </c>
      <c r="G51" s="10" t="inlineStr">
        <is>
          <t>Lectura del documento</t>
        </is>
      </c>
      <c r="H51" s="10" t="inlineStr">
        <is>
          <t>Pendiente</t>
        </is>
      </c>
      <c r="I51" s="10" t="inlineStr">
        <is>
          <t>Confirmado</t>
        </is>
      </c>
      <c r="J51" s="10" t="inlineStr">
        <is>
          <t>Parcial</t>
        </is>
      </c>
      <c r="K51" s="10" t="inlineStr">
        <is>
          <t>Bibliografía y glosario</t>
        </is>
      </c>
      <c r="L51" s="10" t="inlineStr">
        <is>
          <t>Gestionador LaTeX</t>
        </is>
      </c>
      <c r="M51" s="10" t="inlineStr">
        <is>
          <t>appendices/anexo_b_glosario.tex; references.bib; chapters/capitulo_06_estado_del_arte.tex §§6.5–6.8; chapters/capitulo_15_modelo_negocio.tex §14.7</t>
        </is>
      </c>
      <c r="N51" s="10" t="inlineStr">
        <is>
          <t>Hay siglas técnicas usadas sin glosario y herramientas/costos con referencias incompletas; DOI y metadatos de varias citas aún requieren contraste primario.</t>
        </is>
      </c>
      <c r="O51" s="10" t="inlineStr">
        <is>
          <t>Verificar referencias una a una en sus fuentes/editoriales; no añadir citas sin confirmar pertinencia y metadatos.</t>
        </is>
      </c>
      <c r="P51" s="10" t="str"/>
      <c r="Q51" s="10" t="inlineStr">
        <is>
          <t>No evaluado</t>
        </is>
      </c>
      <c r="R51" s="10" t="inlineStr">
        <is>
          <t>No revisado</t>
        </is>
      </c>
      <c r="S51" s="10" t="str"/>
      <c r="T51" s="10" t="str"/>
      <c r="U51" s="10" t="str"/>
    </row>
    <row r="52" ht="34" customHeight="1">
      <c r="A52" s="10" t="n">
        <v>51</v>
      </c>
      <c r="B52" s="10" t="inlineStr">
        <is>
          <t>Baja</t>
        </is>
      </c>
      <c r="C52" s="10" t="inlineStr">
        <is>
          <t>Mejora</t>
        </is>
      </c>
      <c r="D52" s="10" t="inlineStr">
        <is>
          <t>14.2.1 (pp.139–141)</t>
        </is>
      </c>
      <c r="E52" s="10" t="inlineStr">
        <is>
          <t>El branding (paleta, favicon, variantes) es extenso para una tesis de ingeniería, y el nombre MIRA·L no aparece antes del cap. 14.</t>
        </is>
      </c>
      <c r="F52" s="10" t="inlineStr">
        <is>
          <t>Mover a anexo o presentar el nombre en los cap. 1 y 5.</t>
        </is>
      </c>
      <c r="G52" s="10" t="inlineStr">
        <is>
          <t>Lectura del documento</t>
        </is>
      </c>
      <c r="H52" s="10" t="inlineStr">
        <is>
          <t>Pendiente</t>
        </is>
      </c>
      <c r="I52" s="10" t="inlineStr">
        <is>
          <t>Confirmado</t>
        </is>
      </c>
      <c r="J52" s="10" t="inlineStr">
        <is>
          <t>Sí</t>
        </is>
      </c>
      <c r="K52" s="10" t="inlineStr">
        <is>
          <t>Presentación de marca</t>
        </is>
      </c>
      <c r="L52" s="10" t="inlineStr">
        <is>
          <t>Gestionador LaTeX</t>
        </is>
      </c>
      <c r="M52" s="10" t="inlineStr">
        <is>
          <t>chapters/capitulo_14_planificacion_academica.tex §14.2.1</t>
        </is>
      </c>
      <c r="N52" s="10" t="inlineStr">
        <is>
          <t>La explicación de marca y sistema visual es extensa y el nombre aparece en el tramo financiero sin presentación temprana.</t>
        </is>
      </c>
      <c r="O52" s="10" t="inlineStr">
        <is>
          <t>Reducir o mover el detalle de branding y presentar el nombre en introducción/alcance si se conserva.</t>
        </is>
      </c>
      <c r="P52" s="10" t="str"/>
      <c r="Q52" s="10" t="inlineStr">
        <is>
          <t>No evaluado</t>
        </is>
      </c>
      <c r="R52" s="10" t="inlineStr">
        <is>
          <t>No revisado</t>
        </is>
      </c>
      <c r="S52" s="10" t="str"/>
      <c r="T52" s="10" t="str"/>
      <c r="U52" s="10" t="str"/>
    </row>
    <row r="53" ht="34" customHeight="1">
      <c r="A53" s="10" t="n">
        <v>52</v>
      </c>
      <c r="B53" s="10" t="inlineStr">
        <is>
          <t>Baja</t>
        </is>
      </c>
      <c r="C53" s="10" t="inlineStr">
        <is>
          <t>Sintaxis</t>
        </is>
      </c>
      <c r="D53" s="10" t="inlineStr">
        <is>
          <t>6.10 (p.31), Tablas 6.3–6.4 (p.32)</t>
        </is>
      </c>
      <c r="E53" s="10" t="inlineStr">
        <is>
          <t>La lista 'simultáneamente' repite el axial en dos ítems. Aparece 'canales' en singular. 'Propuesta técnica (revisada por pares)' para Perumal es vago.</t>
        </is>
      </c>
      <c r="F53" s="10" t="inlineStr">
        <is>
          <t>Pulido editorial.</t>
        </is>
      </c>
      <c r="G53" s="10" t="inlineStr">
        <is>
          <t>Lectura del documento</t>
        </is>
      </c>
      <c r="H53" s="10" t="inlineStr">
        <is>
          <t>Pendiente</t>
        </is>
      </c>
      <c r="I53" s="10" t="inlineStr">
        <is>
          <t>Confirmado</t>
        </is>
      </c>
      <c r="J53" s="10" t="inlineStr">
        <is>
          <t>Sí</t>
        </is>
      </c>
      <c r="K53" s="10" t="inlineStr">
        <is>
          <t>Pulido editorial de estado del arte</t>
        </is>
      </c>
      <c r="L53" s="10" t="inlineStr">
        <is>
          <t>Gestionador LaTeX</t>
        </is>
      </c>
      <c r="M53" s="10" t="inlineStr">
        <is>
          <t>chapters/capitulo_06_estado_del_arte.tex §6.10; tablas 6.3–6.4</t>
        </is>
      </c>
      <c r="N53" s="10" t="inlineStr">
        <is>
          <t>El apartado sobre imagen axial repite el plano en la enumeración; hay errores terminológicos menores y una caracterización vaga de la propuesta Perumal.</t>
        </is>
      </c>
      <c r="O53" s="10" t="inlineStr">
        <is>
          <t>Corregir duplicación y precisión terminológica; atribuir la propuesta técnica con fuente y alcance concretos.</t>
        </is>
      </c>
      <c r="P53" s="10" t="str"/>
      <c r="Q53" s="10" t="inlineStr">
        <is>
          <t>No evaluado</t>
        </is>
      </c>
      <c r="R53" s="10" t="inlineStr">
        <is>
          <t>No revisado</t>
        </is>
      </c>
      <c r="S53" s="10" t="str"/>
      <c r="T53" s="10" t="str"/>
      <c r="U53" s="10" t="str"/>
    </row>
    <row r="54" ht="34" customHeight="1">
      <c r="A54" s="10" t="n">
        <v>53</v>
      </c>
      <c r="B54" s="10" t="inlineStr">
        <is>
          <t>Alta</t>
        </is>
      </c>
      <c r="C54" s="10" t="inlineStr">
        <is>
          <t>Coherencia</t>
        </is>
      </c>
      <c r="D54" s="10" t="inlineStr">
        <is>
          <t>10.9.4 (p.101) vs. D.2 (p.173) y D.3 (p.176)</t>
        </is>
      </c>
      <c r="E54" s="10" t="inlineStr">
        <is>
          <t>La tesis afirma que 'las entrevistas señalaron' que un valor de confianza sin validación clínica induce a error. En las transcripciones, EN-02 dice que un indicador de confianza 'podría servir' y EN-03 responde 'eso estaría bueno'. Solo EN-01 advierte sobre sesgo ante un grado asignado por la IA.</t>
        </is>
      </c>
      <c r="F54" s="10" t="inlineStr">
        <is>
          <t>Corregir la atribución o presentar la decisión como criterio propio con su fundamento.</t>
        </is>
      </c>
      <c r="G54" s="10" t="inlineStr">
        <is>
          <t>Contraste Anexo D</t>
        </is>
      </c>
      <c r="H54" s="10" t="inlineStr">
        <is>
          <t>Pendiente</t>
        </is>
      </c>
      <c r="I54" s="10" t="inlineStr">
        <is>
          <t>Corrección aplicada</t>
        </is>
      </c>
      <c r="J54" s="10" t="inlineStr">
        <is>
          <t>Sí</t>
        </is>
      </c>
      <c r="K54" s="10" t="inlineStr">
        <is>
          <t>Atribución de evidencia</t>
        </is>
      </c>
      <c r="L54" s="10" t="inlineStr">
        <is>
          <t>Gestionador LaTeX</t>
        </is>
      </c>
      <c r="M54" s="10" t="inlineStr">
        <is>
          <t>chapters/capitulo_10_diseno_arquitectura.tex §10.9.4; appendices/anexo_d_entrevistas.tex §§D.1–D.3</t>
        </is>
      </c>
      <c r="N54" s="10" t="inlineStr">
        <is>
          <t>La frase vigente atribuye a “las entrevistas” que mostrar confianza numérica induce interpretación indebida. En D.1 EN-01 advierte sesgo al recibir una graduación IA; EN-02/D.2 y EN-03/D.3 consideran útil mostrar confianza.</t>
        </is>
      </c>
      <c r="O54" s="10" t="inlineStr">
        <is>
          <t>Corregir atribución plural; distinguir la preocupación de EN-01 de las opiniones favorables y presentar la decisión como criterio de diseño con fundamento metodológico.</t>
        </is>
      </c>
      <c r="P54" s="10" t="inlineStr">
        <is>
          <t>44a2481734bfe47d3d344fe8479af1b33ac198a7</t>
        </is>
      </c>
      <c r="Q54" s="10" t="inlineStr">
        <is>
          <t>PDF recompilado: pdfLaTeX exit 0, 231 páginas; Biber 2.21 exit 0 en compilación limpia; sin referencias ni citas indefinidas. Revisión visual de tabla financiera (PDF p. 155).</t>
        </is>
      </c>
      <c r="R54" s="10" t="inlineStr">
        <is>
          <t>No revisado</t>
        </is>
      </c>
      <c r="S54" s="10" t="str"/>
      <c r="T54" s="10" t="str"/>
      <c r="U54" s="10" t="str"/>
    </row>
    <row r="55" ht="34" customHeight="1">
      <c r="A55" s="10" t="n">
        <v>54</v>
      </c>
      <c r="B55" s="10" t="inlineStr">
        <is>
          <t>Alta</t>
        </is>
      </c>
      <c r="C55" s="10" t="inlineStr">
        <is>
          <t>Coherencia</t>
        </is>
      </c>
      <c r="D55" s="10" t="inlineStr">
        <is>
          <t>7.10.2 (p.47)</t>
        </is>
      </c>
      <c r="E55" s="10" t="inlineStr">
        <is>
          <t>La cita «si se ve bonito no es lo que realmente importa» se atribuye al 'relevamiento preliminar', pero no aparece en ninguna de las cinco transcripciones del Anexo D (búsqueda textual).</t>
        </is>
      </c>
      <c r="F55" s="10" t="inlineStr">
        <is>
          <t>Identificar la fuente (entrevista, fecha) o retirarla.</t>
        </is>
      </c>
      <c r="G55" s="10" t="inlineStr">
        <is>
          <t>Contraste Anexo D</t>
        </is>
      </c>
      <c r="H55" s="10" t="inlineStr">
        <is>
          <t>Pendiente</t>
        </is>
      </c>
      <c r="I55" s="10" t="inlineStr">
        <is>
          <t>Corrección aplicada</t>
        </is>
      </c>
      <c r="J55" s="10" t="inlineStr">
        <is>
          <t>Sí</t>
        </is>
      </c>
      <c r="K55" s="10" t="inlineStr">
        <is>
          <t>Trazabilidad de cita</t>
        </is>
      </c>
      <c r="L55" s="10" t="inlineStr">
        <is>
          <t>Gestionador LaTeX</t>
        </is>
      </c>
      <c r="M55" s="10" t="inlineStr">
        <is>
          <t>chapters/capitulo_07_marco_teorico.tex §7.10.2; chapters/capitulo_08_marco_teorico.tex; appendices/anexo_d_entrevistas.tex D.1–D.5</t>
        </is>
      </c>
      <c r="N55" s="10" t="inlineStr">
        <is>
          <t>La frase “si se ve bonito no es lo que realmente importa” aparece en dos capítulos activos; no aparece en las cinco transcripciones D.1–D.5.</t>
        </is>
      </c>
      <c r="O55" s="10" t="inlineStr">
        <is>
          <t>Retirar la cita textual o identificar una fuente primaria fechada y autorizada; conservar transcripciones sin cambios.</t>
        </is>
      </c>
      <c r="P55" s="10" t="inlineStr">
        <is>
          <t>44a2481734bfe47d3d344fe8479af1b33ac198a7</t>
        </is>
      </c>
      <c r="Q55" s="10" t="inlineStr">
        <is>
          <t>PDF recompilado: pdfLaTeX exit 0, 231 páginas; Biber 2.21 exit 0 en compilación limpia; sin referencias ni citas indefinidas. Revisión visual de tabla financiera (PDF p. 155).</t>
        </is>
      </c>
      <c r="R55" s="10" t="inlineStr">
        <is>
          <t>No revisado</t>
        </is>
      </c>
      <c r="S55" s="10" t="str"/>
      <c r="T55" s="10" t="str"/>
      <c r="U55" s="10" t="str"/>
    </row>
    <row r="56" ht="34" customHeight="1">
      <c r="A56" s="10" t="n">
        <v>55</v>
      </c>
      <c r="B56" s="10" t="inlineStr">
        <is>
          <t>Alta</t>
        </is>
      </c>
      <c r="C56" s="10" t="inlineStr">
        <is>
          <t>Coherencia</t>
        </is>
      </c>
      <c r="D56" s="10" t="inlineStr">
        <is>
          <t>8.5–8.6 (pp.54–55), 13.12 (p.136), H.8 (p.210) vs. D.5 (p.183)</t>
        </is>
      </c>
      <c r="E56" s="10" t="inlineStr">
        <is>
          <t>EN-05 planteó como 'red flag' no comparar los resultados contra mediciones de especialistas (doble/triple ciego, intra/interobservador), y EN-01 a EN-04 también recomendaron validar con profesionales. El cap. 8 lo recoge de forma parcial (EN-05 aparece solo en el Hallazgo 11, por nivel anatómico) y el cap. 13 admite que no se hizo sin discutirlo como advertencia recibida.</t>
        </is>
      </c>
      <c r="F56" s="10" t="inlineStr">
        <is>
          <t>Incorporar el hallazgo a la Tabla 8.5, discutirlo en las conclusiones y evaluar una comparación acotada (p. ej., 20–50 cortes medidos por un profesional).</t>
        </is>
      </c>
      <c r="G56" s="10" t="inlineStr">
        <is>
          <t>Contraste Anexo D</t>
        </is>
      </c>
      <c r="H56" s="10" t="inlineStr">
        <is>
          <t>Pendiente</t>
        </is>
      </c>
      <c r="I56" s="10" t="inlineStr">
        <is>
          <t>Corrección aplicada</t>
        </is>
      </c>
      <c r="J56" s="10" t="inlineStr">
        <is>
          <t>Parcial</t>
        </is>
      </c>
      <c r="K56" s="10" t="inlineStr">
        <is>
          <t>User research / validación</t>
        </is>
      </c>
      <c r="L56" s="10" t="inlineStr">
        <is>
          <t>Gestionador LaTeX</t>
        </is>
      </c>
      <c r="M56" s="10" t="inlineStr">
        <is>
          <t>chapters/capitulo_08_user_research.tex Tabla 8.5 y §§8.5–8.6; chapters/capitulo_13_resultados_evaluacion.tex §§13.1, 13.12; chapters/capitulo_16_conclusiones.tex; appendices/anexo_d_entrevistas.tex D.5</t>
        </is>
      </c>
      <c r="N56" s="10" t="inlineStr">
        <is>
          <t>EN-05 recomienda explícitamente comparar mediciones del sistema con mediciones de especialistas. La conclusión general ahora identifica la recomendación y registra que esa comparación no se ejecutó; la validación clínica/diagnóstica sigue fuera de la evidencia disponible.</t>
        </is>
      </c>
      <c r="O56" s="10" t="inlineStr">
        <is>
          <t>La comparación independiente requerirá estudios comunes, especialistas y protocolo; no se presenta como realizada.</t>
        </is>
      </c>
      <c r="P56" s="10" t="inlineStr">
        <is>
          <t>784066e6723fab9cb90bf5794783c3e667a1b415</t>
        </is>
      </c>
      <c r="Q56" s="10" t="inlineStr">
        <is>
          <t>PDF recompilado: pdfLaTeX exit 0, 231 páginas; Biber 2.21 exit 0 en compilación limpia; sin referencias ni citas indefinidas. Revisión visual de tabla financiera (PDF p. 155).</t>
        </is>
      </c>
      <c r="R56" s="10" t="inlineStr">
        <is>
          <t>No revisado</t>
        </is>
      </c>
      <c r="S56" s="10" t="str"/>
      <c r="T56" s="10" t="str"/>
      <c r="U56" s="10" t="str"/>
    </row>
    <row r="57" ht="34" customHeight="1">
      <c r="A57" s="10" t="n">
        <v>56</v>
      </c>
      <c r="B57" s="10" t="inlineStr">
        <is>
          <t>Alta</t>
        </is>
      </c>
      <c r="C57" s="10" t="inlineStr">
        <is>
          <t>Coherencia</t>
        </is>
      </c>
      <c r="D57" s="10" t="inlineStr">
        <is>
          <t>Cap. 14 (pp.138–150), 11.11.2 (p.117), 6.3.2 (p.24)</t>
        </is>
      </c>
      <c r="E57" s="10" t="inlineStr">
        <is>
          <t>LumbarDISC se distribuye gratis solo para uso no comercial (acuerdo de uso de investigación RSNA MIRA / Kaggle). La tesis entrena con él el clasificador subarticular y a la vez propone un SaaS comercial, sin analizar la licencia. SPIDER figura como CC BY 4.0 (confirmado). La licencia de Sudirman/Al-Kafri (CC BY 4.0 según la tesis) no pude confirmarla.</t>
        </is>
      </c>
      <c r="F57" s="10" t="inlineStr">
        <is>
          <t>Tabla de licencias por dataset y su compatibilidad con uso comercial; excluir o reemplazar los modelos con restricción.</t>
        </is>
      </c>
      <c r="G57" s="10" t="inlineStr">
        <is>
          <t>Verificación externa</t>
        </is>
      </c>
      <c r="H57" s="10" t="inlineStr">
        <is>
          <t>Pendiente</t>
        </is>
      </c>
      <c r="I57" s="10" t="inlineStr">
        <is>
          <t>Bloqueado por evidencia</t>
        </is>
      </c>
      <c r="J57" s="10" t="inlineStr">
        <is>
          <t>Parcial</t>
        </is>
      </c>
      <c r="K57" s="10" t="inlineStr">
        <is>
          <t>Licencias y uso previsto</t>
        </is>
      </c>
      <c r="L57" s="10" t="inlineStr">
        <is>
          <t>Gestionador LaTeX; AI Module</t>
        </is>
      </c>
      <c r="M57" s="10" t="inlineStr">
        <is>
          <t>chapters/capitulo_06_estado_del_arte.tex §6.3.2; chapters/capitulo_11_capacidades_prototipo.tex §11.11.2; chapters/capitulo_15_modelo_negocio.tex; artifacts/manifests del clasificador subarticular</t>
        </is>
      </c>
      <c r="N57" s="10" t="inlineStr">
        <is>
          <t>Fuentes consultadas: SPIDER data page y Mendeley Data V2 indican CC BY 4.0; RSNA ATLAS identifica su Research Use Agreement y el artículo oficial dice uso no comercial. Sigue faltando el texto integral del acuerdo RSNA y licencia/condiciones del checkpoint/pesos y redistribución.</t>
        </is>
      </c>
      <c r="O57" s="10" t="inlineStr">
        <is>
          <t>No asumir uso comercial de LumbarDISC; clasificador queda fuera del escenario comercial. Solicitar acuerdo RSNA accesible y condiciones/licencia de weights antes de cerrar.</t>
        </is>
      </c>
      <c r="P57" s="10" t="str"/>
      <c r="Q57" s="10" t="inlineStr">
        <is>
          <t>No evaluado</t>
        </is>
      </c>
      <c r="R57" s="10" t="inlineStr">
        <is>
          <t>No revisado</t>
        </is>
      </c>
      <c r="S57" s="10" t="str"/>
      <c r="T57" s="10" t="str"/>
      <c r="U57" s="10" t="str"/>
    </row>
    <row r="58" ht="34" customHeight="1">
      <c r="A58" s="10" t="n">
        <v>57</v>
      </c>
      <c r="B58" s="10" t="inlineStr">
        <is>
          <t>Media</t>
        </is>
      </c>
      <c r="C58" s="10" t="inlineStr">
        <is>
          <t>Mejora</t>
        </is>
      </c>
      <c r="D58" s="10" t="inlineStr">
        <is>
          <t>6.3.1 (p.23), 6.4.1 (p.25), 13.2–13.3 (pp.125–126)</t>
        </is>
      </c>
      <c r="E58" s="10" t="inlineStr">
        <is>
          <t>SPIDER define una asignación oficial entrenamiento/validación, un conjunto secuestrado para un desafío continuo y valores de referencia (baseline y nnU-Net con rendimiento comparable). La tesis usa una partición propia 152/33/33, así que el 0,893 no es comparable con el benchmark publicado.</t>
        </is>
      </c>
      <c r="F58" s="10" t="inlineStr">
        <is>
          <t>Usar la partición oficial o enviar al desafío, y reportar contra el baseline y nnU-Net.</t>
        </is>
      </c>
      <c r="G58" s="10" t="inlineStr">
        <is>
          <t>Verificación externa</t>
        </is>
      </c>
      <c r="H58" s="10" t="inlineStr">
        <is>
          <t>Pendiente</t>
        </is>
      </c>
      <c r="I58" s="10" t="inlineStr">
        <is>
          <t>Confirmado</t>
        </is>
      </c>
      <c r="J58" s="10" t="inlineStr">
        <is>
          <t>Sí</t>
        </is>
      </c>
      <c r="K58" s="10" t="inlineStr">
        <is>
          <t>Comparabilidad de evaluación</t>
        </is>
      </c>
      <c r="L58" s="10" t="inlineStr">
        <is>
          <t>Gestionador LaTeX; AI Module</t>
        </is>
      </c>
      <c r="M58" s="10" t="inlineStr">
        <is>
          <t>chapters/capitulo_06_estado_del_arte.tex §6.3.1; chapters/capitulo_13_resultados_evaluacion.tex §§13.2–13.3; manifest sagital</t>
        </is>
      </c>
      <c r="N58" s="10" t="inlineStr">
        <is>
          <t>La evaluación propia usa una partición 152/33/33; el benchmark SPIDER publica train/validation y un test oculto separado a nivel de paciente, con resultados de referencia. El 0,893 no es directamente comparable.</t>
        </is>
      </c>
      <c r="O58" s="10" t="inlineStr">
        <is>
          <t>Reportar la partición como evaluación propia y reformular cualquier equivalencia con benchmark; no reentrenar ni acceder a test oculto sin protocolo.</t>
        </is>
      </c>
      <c r="P58" s="10" t="str"/>
      <c r="Q58" s="10" t="inlineStr">
        <is>
          <t>No evaluado</t>
        </is>
      </c>
      <c r="R58" s="10" t="inlineStr">
        <is>
          <t>No revisado</t>
        </is>
      </c>
      <c r="S58" s="10" t="str"/>
      <c r="T58" s="10" t="str"/>
      <c r="U58" s="10" t="str"/>
    </row>
    <row r="59" ht="34" customHeight="1">
      <c r="A59" s="10" t="n">
        <v>58</v>
      </c>
      <c r="B59" s="10" t="inlineStr">
        <is>
          <t>Media</t>
        </is>
      </c>
      <c r="C59" s="10" t="inlineStr">
        <is>
          <t>Mejora</t>
        </is>
      </c>
      <c r="D59" s="10" t="inlineStr">
        <is>
          <t>6.4.3 (p.26), Tabla 6.4 (p.32), 11.11.1 (p.116)</t>
        </is>
      </c>
      <c r="E59" s="10" t="inlineStr">
        <is>
          <t>SpineNet [6] ya predice gradaciones equivalentes a los 8 hallazgos (Pfirrmann, estrechamiento, platillos, cambios medulares/Modic, listesis) con rendimiento 'casi humano', y SpineNetV2 [7] es abierto y tiene demo. La tesis lo trata solo como 'contexto', aunque sus F1 (0,125–0,846) son muy dispares.</t>
        </is>
      </c>
      <c r="F59" s="10" t="inlineStr">
        <is>
          <t>Usarlo como baseline directo o justificar la diferencia.</t>
        </is>
      </c>
      <c r="G59" s="10" t="inlineStr">
        <is>
          <t>Verificación externa</t>
        </is>
      </c>
      <c r="H59" s="10" t="inlineStr">
        <is>
          <t>Pendiente</t>
        </is>
      </c>
      <c r="I59" s="10" t="inlineStr">
        <is>
          <t>Confirmado</t>
        </is>
      </c>
      <c r="J59" s="10" t="inlineStr">
        <is>
          <t>Parcial</t>
        </is>
      </c>
      <c r="K59" s="10" t="inlineStr">
        <is>
          <t>Estado del arte de clasificación</t>
        </is>
      </c>
      <c r="L59" s="10" t="inlineStr">
        <is>
          <t>Gestionador LaTeX; AI Module</t>
        </is>
      </c>
      <c r="M59" s="10" t="inlineStr">
        <is>
          <t>chapters/capitulo_06_estado_del_arte.tex §6.4.3; chapters/capitulo_11_capacidades_prototipo.tex §11.11.1; references.bib [6], [7]</t>
        </is>
      </c>
      <c r="N59" s="10" t="inlineStr">
        <is>
          <t>SpineNet/SpineNetV2 cubren varias gradaciones degenerativas que se solapan con etiquetas discutidas; sin embargo, tareas, datos, licencias y condiciones de validación difieren del modelo PFI.</t>
        </is>
      </c>
      <c r="O59" s="10" t="inlineStr">
        <is>
          <t>Actualizar el análisis como antecedente comparable y justificar por qué no se usa como baseline directo; no presentar sus métricas como comparación propia.</t>
        </is>
      </c>
      <c r="P59" s="10" t="str"/>
      <c r="Q59" s="10" t="inlineStr">
        <is>
          <t>No evaluado</t>
        </is>
      </c>
      <c r="R59" s="10" t="inlineStr">
        <is>
          <t>No revisado</t>
        </is>
      </c>
      <c r="S59" s="10" t="str"/>
      <c r="T59" s="10" t="str"/>
      <c r="U59" s="10" t="str"/>
    </row>
    <row r="60" ht="34" customHeight="1">
      <c r="A60" s="10" t="n">
        <v>59</v>
      </c>
      <c r="B60" s="10" t="inlineStr">
        <is>
          <t>Media</t>
        </is>
      </c>
      <c r="C60" s="10" t="inlineStr">
        <is>
          <t>Coherencia</t>
        </is>
      </c>
      <c r="D60" s="10" t="inlineStr">
        <is>
          <t>7.8.2 (p.45), 6.4.4 (p.26), [29]</t>
        </is>
      </c>
      <c r="E60" s="10" t="inlineStr">
        <is>
          <t>Steurer et al. [29] no sostiene que el área del saco sea 'más sensible' que el diámetro AP: informa que los criterios más usados son AP &lt; 10 mm y área &lt; 70 mm² (saco dural &lt; 100 mm² en la mayoría) y concluye que falta consenso. Contradice también que el canal esté 'estandarizado en bibliografía' (EN-03).</t>
        </is>
      </c>
      <c r="F60" s="10" t="inlineStr">
        <is>
          <t>Reformular la afirmación o buscar una fuente que la respalde; anclar los umbrales en [29].</t>
        </is>
      </c>
      <c r="G60" s="10" t="inlineStr">
        <is>
          <t>Verificación externa</t>
        </is>
      </c>
      <c r="H60" s="10" t="inlineStr">
        <is>
          <t>Pendiente</t>
        </is>
      </c>
      <c r="I60" s="10" t="inlineStr">
        <is>
          <t>Corrección aplicada</t>
        </is>
      </c>
      <c r="J60" s="10" t="inlineStr">
        <is>
          <t>Sí</t>
        </is>
      </c>
      <c r="K60" s="10" t="inlineStr">
        <is>
          <t>Alineación bibliográfica clínica</t>
        </is>
      </c>
      <c r="L60" s="10" t="inlineStr">
        <is>
          <t>Gestionador LaTeX</t>
        </is>
      </c>
      <c r="M60" s="10" t="inlineStr">
        <is>
          <t>chapters/capitulo_06_estado_del_arte.tex §6.4.4; chapters/capitulo_07_marco_teorico.tex §7.8.2; references.bib steurer_lumbar_stenosis_2011</t>
        </is>
      </c>
      <c r="N60" s="10" t="inlineStr">
        <is>
          <t>La revisión de Steurer informa criterios AP/área variables y falta de consenso; ya no se afirma que el área sea más sensible.</t>
        </is>
      </c>
      <c r="O60" s="10" t="inlineStr">
        <is>
          <t>Citar la revisión para describir criterios usados, no para inferir superioridad diagnóstica.</t>
        </is>
      </c>
      <c r="P60" s="10" t="inlineStr">
        <is>
          <t>1126134521c79d5858b220c5a163e0dd7f84610e</t>
        </is>
      </c>
      <c r="Q60" s="10" t="inlineStr">
        <is>
          <t>PDF recompilado: pdfLaTeX exit 0, 231 páginas; Biber 2.21 exit 0 en compilación limpia; sin referencias ni citas indefinidas. Revisión visual de tabla financiera (PDF p. 155).</t>
        </is>
      </c>
      <c r="R60" s="10" t="inlineStr">
        <is>
          <t>No revisado</t>
        </is>
      </c>
      <c r="S60" s="10" t="str"/>
      <c r="T60" s="10" t="str"/>
      <c r="U60" s="10" t="str"/>
    </row>
    <row r="61" ht="34" customHeight="1">
      <c r="A61" s="10" t="n">
        <v>60</v>
      </c>
      <c r="B61" s="10" t="inlineStr">
        <is>
          <t>Media</t>
        </is>
      </c>
      <c r="C61" s="10" t="inlineStr">
        <is>
          <t>Coherencia</t>
        </is>
      </c>
      <c r="D61" s="10" t="inlineStr">
        <is>
          <t>13.6, Tabla 13.3 (pp.127–128)</t>
        </is>
      </c>
      <c r="E61" s="10" t="inlineStr">
        <is>
          <t>El AP de 9,8 mm en L3-L4 queda por debajo del criterio &lt; 10 mm que [29] reporta como el más usado para estenosis central, pero la tabla lo califica de 'consistente' sin comentario.</t>
        </is>
      </c>
      <c r="F61" s="10" t="inlineStr">
        <is>
          <t>Discutirlo (error de segmentación vs. hallazgo real) y contrastar con umbrales citados.</t>
        </is>
      </c>
      <c r="G61" s="10" t="inlineStr">
        <is>
          <t>Verificación externa</t>
        </is>
      </c>
      <c r="H61" s="10" t="inlineStr">
        <is>
          <t>Pendiente</t>
        </is>
      </c>
      <c r="I61" s="10" t="inlineStr">
        <is>
          <t>Corrección aplicada</t>
        </is>
      </c>
      <c r="J61" s="10" t="inlineStr">
        <is>
          <t>Sí</t>
        </is>
      </c>
      <c r="K61" s="10" t="inlineStr">
        <is>
          <t>Interpretación de medición</t>
        </is>
      </c>
      <c r="L61" s="10" t="inlineStr">
        <is>
          <t>Gestionador LaTeX</t>
        </is>
      </c>
      <c r="M61" s="10" t="inlineStr">
        <is>
          <t>chapters/capitulo_13_resultados_evaluacion.tex §13.6, Tabla 13.3</t>
        </is>
      </c>
      <c r="N61" s="10" t="inlineStr">
        <is>
          <t>El valor de 9,8 mm en L3–L4 se presenta como menor que uno de varios umbrales publicados (&lt;10 mm), expresamente no diagnóstico y sujeto a interpretación profesional.</t>
        </is>
      </c>
      <c r="O61" s="10" t="inlineStr">
        <is>
          <t>No clasificar el estudio ni el método a partir de un único corte/medición.</t>
        </is>
      </c>
      <c r="P61" s="10" t="inlineStr">
        <is>
          <t>1126134521c79d5858b220c5a163e0dd7f84610e</t>
        </is>
      </c>
      <c r="Q61" s="10" t="inlineStr">
        <is>
          <t>PDF recompilado: pdfLaTeX exit 0, 231 páginas; Biber 2.21 exit 0 en compilación limpia; sin referencias ni citas indefinidas. Revisión visual de tabla financiera (PDF p. 155).</t>
        </is>
      </c>
      <c r="R61" s="10" t="inlineStr">
        <is>
          <t>No revisado</t>
        </is>
      </c>
      <c r="S61" s="10" t="str"/>
      <c r="T61" s="10" t="str"/>
      <c r="U61" s="10" t="str"/>
    </row>
    <row r="62" ht="34" customHeight="1">
      <c r="A62" s="10" t="n">
        <v>61</v>
      </c>
      <c r="B62" s="10" t="inlineStr">
        <is>
          <t>Media</t>
        </is>
      </c>
      <c r="C62" s="10" t="inlineStr">
        <is>
          <t>Coherencia</t>
        </is>
      </c>
      <c r="D62" s="10" t="inlineStr">
        <is>
          <t>6.7 (pp.28–29), Tabla 6.2</t>
        </is>
      </c>
      <c r="E62" s="10" t="inlineStr">
        <is>
          <t>Panorama comercial incompleto: CoLumbo tiene autorizaciones posteriores (K241211, ago-2024; CoLumboX K250367, may-2025), marcado CE y estudio clínico. Su 510(k) K220497 se validó contra ground truth de 3 radiólogos en 101 estudios de 7 sitios de EE. UU. Aparecen otros competidores no mencionados (p. ej., ScanDiags Ortho L-Spine MR-Q, K242607). MSKai (K240793, dic-2024) se limita a T2.</t>
        </is>
      </c>
      <c r="F62" s="10" t="inlineStr">
        <is>
          <t>Actualizar 6.7/Tabla 6.2 y usar su criterio de validación como vara en el cap. 13.</t>
        </is>
      </c>
      <c r="G62" s="10" t="inlineStr">
        <is>
          <t>Verificación externa</t>
        </is>
      </c>
      <c r="H62" s="10" t="inlineStr">
        <is>
          <t>Pendiente</t>
        </is>
      </c>
      <c r="I62" s="10" t="inlineStr">
        <is>
          <t>Corrección aplicada</t>
        </is>
      </c>
      <c r="J62" s="10" t="inlineStr">
        <is>
          <t>Parcial</t>
        </is>
      </c>
      <c r="K62" s="10" t="inlineStr">
        <is>
          <t>Panorama regulatorio comercial</t>
        </is>
      </c>
      <c r="L62" s="10" t="inlineStr">
        <is>
          <t>Gestionador LaTeX</t>
        </is>
      </c>
      <c r="M62" s="10" t="inlineStr">
        <is>
          <t>chapters/capitulo_06_estado_del_arte.tex §6.7 y Tablas 6.2/6.6; references.bib</t>
        </is>
      </c>
      <c r="N62" s="10" t="inlineStr">
        <is>
          <t>Se incorporaron decisiones FDA verificadas: CoLumbo K241211 (15-08-2024), MSKai K240793 (16-12-2024) y ScanDiags Ortho L-Spine MR-Q K242607 (21-02-2025). Los registros no se presentan como evidencia de equivalencia de indicación o desempeño con el PFI.</t>
        </is>
      </c>
      <c r="O62" s="10" t="inlineStr">
        <is>
          <t>El inventario comercial completo y comparación de estudios clínicos siguen parciales; revisar cada resumen/indicación antes de comparaciones de desempeño.</t>
        </is>
      </c>
      <c r="P62" s="10" t="inlineStr">
        <is>
          <t>475570dabc211261c0b8f6733bb197b910fb1b68</t>
        </is>
      </c>
      <c r="Q62" s="10" t="inlineStr">
        <is>
          <t>PDF recompilado: pdfLaTeX exit 0, 231 páginas; Biber 2.21 exit 0 en compilación limpia; sin referencias ni citas indefinidas. Revisión visual de tabla financiera (PDF p. 155).</t>
        </is>
      </c>
      <c r="R62" s="10" t="inlineStr">
        <is>
          <t>No revisado</t>
        </is>
      </c>
      <c r="S62" s="10" t="str"/>
      <c r="T62" s="10" t="str"/>
      <c r="U62" s="10" t="str"/>
    </row>
    <row r="63" ht="34" customHeight="1">
      <c r="A63" s="10" t="n">
        <v>62</v>
      </c>
      <c r="B63" s="10" t="inlineStr">
        <is>
          <t>Media</t>
        </is>
      </c>
      <c r="C63" s="10" t="inlineStr">
        <is>
          <t>Sintaxis</t>
        </is>
      </c>
      <c r="D63" s="10" t="inlineStr">
        <is>
          <t>6.5 (p.27), Tabla 6.4 (p.32), Referencia [9] (p.211)</t>
        </is>
      </c>
      <c r="E63" s="10" t="inlineStr">
        <is>
          <t>Atribución errónea: el artículo (BMC Med Imaging 2026;26:134, DOI correcto) tiene como primer autor a Akash Nixon; Perumal es el último. Se cita como 'Perumal et al.'. Ese trabajo validó contra dos radiólogos con ICC y MAE ≈ 1 mm, incluso en una cohorte externa (RSNA 2024).</t>
        </is>
      </c>
      <c r="F63" s="10" t="inlineStr">
        <is>
          <t>Citar NIXON et al. y usarlo como referencia de cómo validar mediciones.</t>
        </is>
      </c>
      <c r="G63" s="10" t="inlineStr">
        <is>
          <t>Verificación externa</t>
        </is>
      </c>
      <c r="H63" s="10" t="inlineStr">
        <is>
          <t>Pendiente</t>
        </is>
      </c>
      <c r="I63" s="10" t="inlineStr">
        <is>
          <t>Corrección aplicada</t>
        </is>
      </c>
      <c r="J63" s="10" t="inlineStr">
        <is>
          <t>Sí</t>
        </is>
      </c>
      <c r="K63" s="10" t="inlineStr">
        <is>
          <t>Metadatos bibliográficos y metodología</t>
        </is>
      </c>
      <c r="L63" s="10" t="inlineStr">
        <is>
          <t>Gestionador LaTeX</t>
        </is>
      </c>
      <c r="M63" s="10" t="inlineStr">
        <is>
          <t>chapters/capitulo_06_estado_del_arte.tex §6.5 y Tabla 6.6; references.bib perumal_thecal_sac_2026</t>
        </is>
      </c>
      <c r="N63" s="10" t="inlineStr">
        <is>
          <t>DOI y registro de PubMed/BMC: primer autor Akash Nixon; Perumal es último. La cita narrativa se corrigió y el antecedente ahora describe validación frente al promedio de dos radiólogos y MAE global 0,994 mm, sin trasladar sus resultados al PFI.</t>
        </is>
      </c>
      <c r="O63" s="10" t="inlineStr">
        <is>
          <t>Usar el artículo como ejemplo metodológico externo, no como resultado propio ni umbral de aceptación del PFI.</t>
        </is>
      </c>
      <c r="P63" s="10" t="inlineStr">
        <is>
          <t>475570dabc211261c0b8f6733bb197b910fb1b68</t>
        </is>
      </c>
      <c r="Q63" s="10" t="inlineStr">
        <is>
          <t>PDF recompilado: pdfLaTeX exit 0, 231 páginas; Biber 2.21 exit 0 en compilación limpia; sin referencias ni citas indefinidas. Revisión visual de tabla financiera (PDF p. 155).</t>
        </is>
      </c>
      <c r="R63" s="10" t="inlineStr">
        <is>
          <t>No revisado</t>
        </is>
      </c>
      <c r="S63" s="10" t="str"/>
      <c r="T63" s="10" t="str"/>
      <c r="U63" s="10" t="str"/>
    </row>
    <row r="64" ht="34" customHeight="1">
      <c r="A64" s="10" t="n">
        <v>63</v>
      </c>
      <c r="B64" s="10" t="inlineStr">
        <is>
          <t>Media</t>
        </is>
      </c>
      <c r="C64" s="10" t="inlineStr">
        <is>
          <t>Coherencia</t>
        </is>
      </c>
      <c r="D64" s="10" t="inlineStr">
        <is>
          <t>6.3.3 (p.24), Tabla 13.1 (p.125)</t>
        </is>
      </c>
      <c r="E64" s="10" t="inlineStr">
        <is>
          <t>La tesis afirma 1.545 máscaras finales (515 pacientes × 3 niveles). La ficha del dataset describe 515 pacientes y 48.345 cortes sin precisar el número de máscaras, y la tesis doctoral de Al-Kafri indica que los experimentos usaron un subconjunto de 101 pacientes. Eso es más coherente con los '81/102 casos evaluables' de la Tabla 13.1 que con 515.</t>
        </is>
      </c>
      <c r="F64" s="10" t="inlineStr">
        <is>
          <t>Verificar cuántas máscaras existen realmente y corregir las cifras.</t>
        </is>
      </c>
      <c r="G64" s="10" t="inlineStr">
        <is>
          <t>Verificación externa (parcial)</t>
        </is>
      </c>
      <c r="H64" s="10" t="inlineStr">
        <is>
          <t>Pendiente</t>
        </is>
      </c>
      <c r="I64" s="10" t="inlineStr">
        <is>
          <t>Bloqueado por evidencia</t>
        </is>
      </c>
      <c r="J64" s="10" t="inlineStr">
        <is>
          <t>Parcial</t>
        </is>
      </c>
      <c r="K64" s="10" t="inlineStr">
        <is>
          <t>Procedencia de anotaciones axiales</t>
        </is>
      </c>
      <c r="L64" s="10" t="inlineStr">
        <is>
          <t>Gestionador LaTeX; AI Module</t>
        </is>
      </c>
      <c r="M64" s="10" t="inlineStr">
        <is>
          <t>chapters/capitulo_06_estado_del_arte.tex §6.3.3; chapters/capitulo_13_resultados_evaluacion.tex Tabla 13.1; manifests/notebooks axiales</t>
        </is>
      </c>
      <c r="N64" s="10" t="inlineStr">
        <is>
          <t>H63: el model card sagital identifica SPIDER, clases agrupadas y hashes; el manifest axial reporta split de prueba bloqueado/opaque sin IDs. No se localizaron máscaras fuente ni paquete de anotaciones con autoría, protocolo y conteos trazables dentro del snapshot. Notebooks procesan máscaras pero no sustituyen su fuente/procedencia.</t>
        </is>
      </c>
      <c r="O64" s="10" t="inlineStr">
        <is>
          <t>Solicitar paquete fuente de máscaras/etiquetas para cada modelo, manifest de pacientes/estudios asociado y protocolo/registro de etiquetado con autoría y conteos.</t>
        </is>
      </c>
      <c r="P64" s="10" t="str"/>
      <c r="Q64" s="10" t="inlineStr">
        <is>
          <t>No evaluado</t>
        </is>
      </c>
      <c r="R64" s="10" t="inlineStr">
        <is>
          <t>No revisado</t>
        </is>
      </c>
      <c r="S64" s="10" t="str"/>
      <c r="T64" s="10" t="str"/>
      <c r="U64" s="10" t="str"/>
    </row>
    <row r="65" ht="34" customHeight="1">
      <c r="A65" s="10" t="n">
        <v>64</v>
      </c>
      <c r="B65" s="10" t="inlineStr">
        <is>
          <t>Media</t>
        </is>
      </c>
      <c r="C65" s="10" t="inlineStr">
        <is>
          <t>Coherencia</t>
        </is>
      </c>
      <c r="D65" s="10" t="inlineStr">
        <is>
          <t>6.6, Tabla 6.6 (pp.28, 36), 6.8 (p.30) vs. D.3 (p.176), D.5 (p.183)</t>
        </is>
      </c>
      <c r="E65" s="10" t="inlineStr">
        <is>
          <t>EN-03 y EN-05 indican que sus PACS ya delimitan niveles y miden o integran IA ('con un botón en el PACS ya se delimitan los niveles'). El análisis de sustitutos (Tabla 6.6) no incluye las herramientas nativas de PACS ni explica el valor diferencial de segmentar vértebras y discos.</t>
        </is>
      </c>
      <c r="F65" s="10" t="inlineStr">
        <is>
          <t>Agregar PACS como sustituto y reforzar la propuesta de valor (áreas, trazabilidad, revisión).</t>
        </is>
      </c>
      <c r="G65" s="10" t="inlineStr">
        <is>
          <t>Contraste Anexo D</t>
        </is>
      </c>
      <c r="H65" s="10" t="inlineStr">
        <is>
          <t>Pendiente</t>
        </is>
      </c>
      <c r="I65" s="10" t="inlineStr">
        <is>
          <t>Corrección aplicada</t>
        </is>
      </c>
      <c r="J65" s="10" t="inlineStr">
        <is>
          <t>Sí</t>
        </is>
      </c>
      <c r="K65" s="10" t="inlineStr">
        <is>
          <t>Análisis de sustitutos y PACS</t>
        </is>
      </c>
      <c r="L65" s="10" t="inlineStr">
        <is>
          <t>Gestionador LaTeX</t>
        </is>
      </c>
      <c r="M65" s="10" t="inlineStr">
        <is>
          <t>chapters/capitulo_06_estado_del_arte.tex §§6.6–6.8, Tablas 6.2/6.6; chapters/capitulo_08_user_research.tex Tabla 8.5; appendices/anexo_d_entrevistas.tex D.3, D.5</t>
        </is>
      </c>
      <c r="N65" s="10" t="inlineStr">
        <is>
          <t>Las entrevistas EN-03/EN-05 describen delimitación de niveles y mediciones disponibles en sus PACS. Se añadió PACS nativo como sustituto parcial y se acotó el diferencial a integración, trazabilidad y revisión, sin afirmar superioridad comparativa.</t>
        </is>
      </c>
      <c r="O65" s="10" t="inlineStr">
        <is>
          <t>Comparación directa de utilidad/esfuerzo contra los PACS de los centros no fue realizada.</t>
        </is>
      </c>
      <c r="P65" s="10" t="inlineStr">
        <is>
          <t>475570dabc211261c0b8f6733bb197b910fb1b68</t>
        </is>
      </c>
      <c r="Q65" s="10" t="inlineStr">
        <is>
          <t>PDF recompilado: pdfLaTeX exit 0, 231 páginas; Biber 2.21 exit 0 en compilación limpia; sin referencias ni citas indefinidas. Revisión visual de tabla financiera (PDF p. 155).</t>
        </is>
      </c>
      <c r="R65" s="10" t="inlineStr">
        <is>
          <t>No revisado</t>
        </is>
      </c>
      <c r="S65" s="10" t="str"/>
      <c r="T65" s="10" t="str"/>
      <c r="U65" s="10" t="str"/>
    </row>
    <row r="66" ht="34" customHeight="1">
      <c r="A66" s="10" t="n">
        <v>65</v>
      </c>
      <c r="B66" s="10" t="inlineStr">
        <is>
          <t>Media</t>
        </is>
      </c>
      <c r="C66" s="10" t="inlineStr">
        <is>
          <t>Coherencia</t>
        </is>
      </c>
      <c r="D66" s="10" t="inlineStr">
        <is>
          <t>8.7 (p.56), 7.11.3 (p.49) vs. D.2 (p.173), D.5 (p.183)</t>
        </is>
      </c>
      <c r="E66" s="10" t="inlineStr">
        <is>
          <t>EN-05 pidió que el sistema redacte una interpretación por nivel con terminología de informe y EN-02 pidió diagnósticos diferenciales. La Tabla 8.7 solo registra el diferimiento del diagnóstico diferencial; no se discute esa demanda frente al preinforme no diagnóstico.</t>
        </is>
      </c>
      <c r="F66" s="10" t="inlineStr">
        <is>
          <t>Documentarla como decisión de alcance explícita.</t>
        </is>
      </c>
      <c r="G66" s="10" t="inlineStr">
        <is>
          <t>Contraste Anexo D</t>
        </is>
      </c>
      <c r="H66" s="10" t="inlineStr">
        <is>
          <t>Pendiente</t>
        </is>
      </c>
      <c r="I66" s="10" t="inlineStr">
        <is>
          <t>Corrección aplicada</t>
        </is>
      </c>
      <c r="J66" s="10" t="inlineStr">
        <is>
          <t>Parcial</t>
        </is>
      </c>
      <c r="K66" s="10" t="inlineStr">
        <is>
          <t>Alcance y preinforme</t>
        </is>
      </c>
      <c r="L66" s="10" t="inlineStr">
        <is>
          <t>Gestionador LaTeX</t>
        </is>
      </c>
      <c r="M66" s="10" t="inlineStr">
        <is>
          <t>chapters/capitulo_08_user_research.tex Tabla 8.5; chapters/capitulo_07_marco_teorico.tex §7.11.3; appendices/anexo_d_entrevistas.tex D.2, D.5</t>
        </is>
      </c>
      <c r="N66" s="10" t="inlineStr">
        <is>
          <t>Se registraron las solicitudes de EN-02 sobre diferenciales y EN-05 sobre interpretación por nivel en lenguaje de informe; la decisión distingue esas demandas del preinforme geométrico editable y no diagnóstico actual.</t>
        </is>
      </c>
      <c r="O66" s="10" t="inlineStr">
        <is>
          <t>No se implementa ni valida interpretación diagnóstica automática; decisión de alcance explícita.</t>
        </is>
      </c>
      <c r="P66" s="10" t="inlineStr">
        <is>
          <t>784066e6723fab9cb90bf5794783c3e667a1b415</t>
        </is>
      </c>
      <c r="Q66" s="10" t="inlineStr">
        <is>
          <t>PDF recompilado: pdfLaTeX exit 0, 231 páginas; Biber 2.21 exit 0 en compilación limpia; sin referencias ni citas indefinidas. Revisión visual de tabla financiera (PDF p. 155).</t>
        </is>
      </c>
      <c r="R66" s="10" t="inlineStr">
        <is>
          <t>No revisado</t>
        </is>
      </c>
      <c r="S66" s="10" t="str"/>
      <c r="T66" s="10" t="str"/>
      <c r="U66" s="10" t="str"/>
    </row>
    <row r="67" ht="34" customHeight="1">
      <c r="A67" s="10" t="n">
        <v>66</v>
      </c>
      <c r="B67" s="10" t="inlineStr">
        <is>
          <t>Media</t>
        </is>
      </c>
      <c r="C67" s="10" t="inlineStr">
        <is>
          <t>Coherencia</t>
        </is>
      </c>
      <c r="D67" s="10" t="inlineStr">
        <is>
          <t>8.3–8.4 (p.53), Anexo D (pp.169–187)</t>
        </is>
      </c>
      <c r="E67" s="10" t="inlineStr">
        <is>
          <t>Datos de perfil no verificables en las transcripciones: 'Imágenes MDQ' y las duraciones, y 'Sociedad Argentina de Radiología' para EN-01 (D.1 menciona solo FLENI y Prenuvo). EN-03 es presidenta de la SAR (D.3) y no se destaca. Ninguna entrevista tiene fecha. D.5 incluye una nota de transcripción automática sin cierre y D.4 no repite la salvedad de 8.4, que menciona solo a EN-04.</t>
        </is>
      </c>
      <c r="F67" s="10" t="inlineStr">
        <is>
          <t>Completar las fichas (fecha, medio, duración, fuente) y unificar las salvedades.</t>
        </is>
      </c>
      <c r="G67" s="10" t="inlineStr">
        <is>
          <t>Contraste Anexo D</t>
        </is>
      </c>
      <c r="H67" s="10" t="inlineStr">
        <is>
          <t>Pendiente</t>
        </is>
      </c>
      <c r="I67" s="10" t="inlineStr">
        <is>
          <t>Bloqueado por evidencia</t>
        </is>
      </c>
      <c r="J67" s="10" t="inlineStr">
        <is>
          <t>Parcial</t>
        </is>
      </c>
      <c r="K67" s="10" t="inlineStr">
        <is>
          <t>Entrevistas, datos personales y método</t>
        </is>
      </c>
      <c r="L67" s="10" t="inlineStr">
        <is>
          <t>Gestionador LaTeX</t>
        </is>
      </c>
      <c r="M67" s="10" t="inlineStr">
        <is>
          <t>chapters/capitulo_08_user_research.tex §§8.3–8.4; appendices/anexo_d_entrevistas.tex D.1–D.5</t>
        </is>
      </c>
      <c r="N67" s="10" t="inlineStr">
        <is>
          <t>H66: Anexo D contiene transcripciones documentales; faltan audios originales, fechas de sesión y consentimientos/autorizaciones verificables para publicar atribuciones o perfiles ampliados.</t>
        </is>
      </c>
      <c r="O67" s="10" t="inlineStr">
        <is>
          <t>Solicitar audios originales, agenda/registro fechado y consentimientos/autorizaciones de publicación; conservar atribuciones actuales en el límite que permiten las transcripciones.</t>
        </is>
      </c>
      <c r="P67" s="10" t="str"/>
      <c r="Q67" s="10" t="inlineStr">
        <is>
          <t>No evaluado</t>
        </is>
      </c>
      <c r="R67" s="10" t="inlineStr">
        <is>
          <t>No revisado</t>
        </is>
      </c>
      <c r="S67" s="10" t="str"/>
      <c r="T67" s="10" t="str"/>
      <c r="U67" s="10" t="str"/>
    </row>
    <row r="68" ht="34" customHeight="1">
      <c r="A68" s="10" t="n">
        <v>67</v>
      </c>
      <c r="B68" s="10" t="inlineStr">
        <is>
          <t>Baja</t>
        </is>
      </c>
      <c r="C68" s="10" t="inlineStr">
        <is>
          <t>Mejora</t>
        </is>
      </c>
      <c r="D68" s="10" t="inlineStr">
        <is>
          <t>Referencias (p.211)</t>
        </is>
      </c>
      <c r="E68" s="10" t="inlineStr">
        <is>
          <t>Verificadas por búsqueda: [1], [2], [3], [5], [6], [7], [8], [9], [10], [11], [12], [29]. [7] omite el n.º de artículo (14993). Sin verificar: [4], [13]–[28], [30]–[40]. No encontré referencias inexistentes.</t>
        </is>
      </c>
      <c r="F68" s="10" t="inlineStr">
        <is>
          <t>Completar [7] y verificar las restantes antes de la entrega.</t>
        </is>
      </c>
      <c r="G68" s="10" t="inlineStr">
        <is>
          <t>Verificación externa</t>
        </is>
      </c>
      <c r="H68" s="10" t="inlineStr">
        <is>
          <t>Pendiente</t>
        </is>
      </c>
      <c r="I68" s="10" t="inlineStr">
        <is>
          <t>En investigación</t>
        </is>
      </c>
      <c r="J68" s="10" t="inlineStr">
        <is>
          <t>Parcial</t>
        </is>
      </c>
      <c r="K68" s="10" t="inlineStr">
        <is>
          <t>Verificación bibliográfica</t>
        </is>
      </c>
      <c r="L68" s="10" t="inlineStr">
        <is>
          <t>Gestionador LaTeX</t>
        </is>
      </c>
      <c r="M68" s="10" t="inlineStr">
        <is>
          <t>references.bib; referencias del capítulo 6 y marco teórico</t>
        </is>
      </c>
      <c r="N68" s="10" t="inlineStr">
        <is>
          <t>No se ha completado la verificación primaria del conjunto [1]–[40]; la discrepancia de autoría en [9] ya está reproducida, pero el resto exige revisión DOI/título/volumen y soporte de afirmaciones.</t>
        </is>
      </c>
      <c r="O68" s="10" t="inlineStr">
        <is>
          <t>Auditar todos los registros y sus afirmaciones enlazadas; corregir metadatos solo tras cotejo editorial/DOI.</t>
        </is>
      </c>
      <c r="P68" s="10" t="str"/>
      <c r="Q68" s="10" t="inlineStr">
        <is>
          <t>No evaluado</t>
        </is>
      </c>
      <c r="R68" s="10" t="inlineStr">
        <is>
          <t>No revisado</t>
        </is>
      </c>
      <c r="S68" s="10" t="str"/>
      <c r="T68" s="10" t="str"/>
      <c r="U68" s="10" t="str"/>
    </row>
  </sheetData>
  <conditionalFormatting sqref="I2:I68">
    <cfRule type="expression" priority="1" dxfId="0">
      <formula>$I2="Cerrado con evidencia"</formula>
    </cfRule>
    <cfRule type="expression" priority="2" dxfId="1">
      <formula>$I2="Bloqueado por evidencia"</formula>
    </cfRule>
    <cfRule type="expression" priority="3" dxfId="2">
      <formula>$I2="En investigación"</formula>
    </cfRule>
  </conditionalFormatting>
  <conditionalFormatting sqref="B2:B68">
    <cfRule type="expression" priority="4" dxfId="1">
      <formula>$B2="Alta"</formula>
    </cfRule>
  </conditionalFormatting>
  <dataValidations count="5">
    <dataValidation sqref="I2:I68" showDropDown="0" showInputMessage="0" showErrorMessage="0" allowBlank="0" type="list">
      <formula1>"Sin revisar,En investigación,Confirmado,Ya resuelto,Corrección aplicada,No aplica justificado,Bloqueado por evidencia,Cerrado con evidencia"</formula1>
    </dataValidation>
    <dataValidation sqref="J2:J68" showDropDown="0" showInputMessage="0" showErrorMessage="0" allowBlank="0" type="list">
      <formula1>"Por comprobar,Sí,No,Parcial,No aplica"</formula1>
    </dataValidation>
    <dataValidation sqref="K2:K68" showDropDown="0" showInputMessage="0" showErrorMessage="0" allowBlank="0" type="list">
      <formula1>"Por clasificar,Editorial,IA/datasets,Producto/arquitectura,Evaluación/validación,Cloud/DevOps,Modelo económico,Figuras/diagramas,Normativa/bibliografía"</formula1>
    </dataValidation>
    <dataValidation sqref="R2:R68" showDropDown="0" showInputMessage="0" showErrorMessage="0" allowBlank="0" type="list">
      <formula1>"No evaluado,Requiere sincronización,Sincronizado,No corresponde"</formula1>
    </dataValidation>
    <dataValidation sqref="S2:S68" showDropDown="0" showInputMessage="0" showErrorMessage="0" allowBlank="0" type="list">
      <formula1>"No revisado,QA pendiente,QA aprobado,QA rechazado"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3" customWidth="1" min="1" max="1"/>
    <col width="90" customWidth="1" min="2" max="2"/>
    <col width="61" customWidth="1" min="3" max="3"/>
  </cols>
  <sheetData>
    <row r="1">
      <c r="A1" s="4" t="inlineStr">
        <is>
          <t>Estado</t>
        </is>
      </c>
      <c r="B1" s="4" t="inlineStr">
        <is>
          <t>Significado</t>
        </is>
      </c>
      <c r="C1" s="4" t="inlineStr">
        <is>
          <t>Condición de avance</t>
        </is>
      </c>
    </row>
    <row r="2" ht="37" customHeight="1">
      <c r="A2" s="10" t="inlineStr">
        <is>
          <t>Sin revisar</t>
        </is>
      </c>
      <c r="B2" s="10" t="inlineStr">
        <is>
          <t>Todavía no se contrastó con la evidencia.</t>
        </is>
      </c>
      <c r="C2" s="10" t="inlineStr">
        <is>
          <t>No sumar como resuelto.</t>
        </is>
      </c>
    </row>
    <row r="3" ht="37" customHeight="1">
      <c r="A3" s="10" t="inlineStr">
        <is>
          <t>En investigación</t>
        </is>
      </c>
      <c r="B3" s="10" t="inlineStr">
        <is>
          <t>Verificación en curso.</t>
        </is>
      </c>
      <c r="C3" s="10" t="inlineStr">
        <is>
          <t>Identificar repositorios, documentos y experimentos.</t>
        </is>
      </c>
    </row>
    <row r="4" ht="37" customHeight="1">
      <c r="A4" s="10" t="inlineStr">
        <is>
          <t>Confirmado</t>
        </is>
      </c>
      <c r="B4" s="10" t="inlineStr">
        <is>
          <t>La observación se reproduce en el baseline.</t>
        </is>
      </c>
      <c r="C4" s="10" t="inlineStr">
        <is>
          <t>Describir corrección mínima y prueba.</t>
        </is>
      </c>
    </row>
    <row r="5" ht="37" customHeight="1">
      <c r="A5" s="10" t="inlineStr">
        <is>
          <t>Ya resuelto</t>
        </is>
      </c>
      <c r="B5" s="10" t="inlineStr">
        <is>
          <t>No se reproduce porque ya está corregido en el baseline.</t>
        </is>
      </c>
      <c r="C5" s="10" t="inlineStr">
        <is>
          <t>Indicar commit, archivo y prueba.</t>
        </is>
      </c>
    </row>
    <row r="6" ht="37" customHeight="1">
      <c r="A6" s="10" t="inlineStr">
        <is>
          <t>Corrección aplicada</t>
        </is>
      </c>
      <c r="B6" s="10" t="inlineStr">
        <is>
          <t>Se hizo cambio local pero resta QA o sincronización.</t>
        </is>
      </c>
      <c r="C6" s="10" t="inlineStr">
        <is>
          <t>No sumar como cierre final.</t>
        </is>
      </c>
    </row>
    <row r="7" ht="37" customHeight="1">
      <c r="A7" s="10" t="inlineStr">
        <is>
          <t>No aplica justificado</t>
        </is>
      </c>
      <c r="B7" s="10" t="inlineStr">
        <is>
          <t>El hallazgo no aplica a la versión/alcance y existe fundamento.</t>
        </is>
      </c>
      <c r="C7" s="10" t="inlineStr">
        <is>
          <t>Describir criterio sin desestimar al tutor.</t>
        </is>
      </c>
    </row>
    <row r="8" ht="37" customHeight="1">
      <c r="A8" s="10" t="inlineStr">
        <is>
          <t>Bloqueado por evidencia</t>
        </is>
      </c>
      <c r="B8" s="10" t="inlineStr">
        <is>
          <t>Faltan datos, experimentos o fuente verificable.</t>
        </is>
      </c>
      <c r="C8" s="10" t="inlineStr">
        <is>
          <t>No inventar resultados ni marcar resuelto.</t>
        </is>
      </c>
    </row>
    <row r="9" ht="37" customHeight="1">
      <c r="A9" s="10" t="inlineStr">
        <is>
          <t>Cerrado con evidencia</t>
        </is>
      </c>
      <c r="B9" s="10" t="inlineStr">
        <is>
          <t>Corrección o resolución justificada + QA + referencia de commit.</t>
        </is>
      </c>
      <c r="C9" s="10" t="inlineStr">
        <is>
          <t>Listo para revisión final.</t>
        </is>
      </c>
    </row>
    <row r="12">
      <c r="A12" s="3" t="inlineStr">
        <is>
          <t>Puerta de control</t>
        </is>
      </c>
      <c r="B12" s="3" t="inlineStr">
        <is>
          <t>Requisito</t>
        </is>
      </c>
    </row>
    <row r="13" ht="28" customHeight="1">
      <c r="A13" s="10" t="inlineStr">
        <is>
          <t>G0</t>
        </is>
      </c>
      <c r="B13" s="10" t="inlineStr">
        <is>
          <t>Excel original almacenado sin cambios + SHA256 en el registro.</t>
        </is>
      </c>
    </row>
    <row r="14" ht="28" customHeight="1">
      <c r="A14" s="10" t="inlineStr">
        <is>
          <t>G1</t>
        </is>
      </c>
      <c r="B14" s="10" t="inlineStr">
        <is>
          <t>67 filas clasificadas y vinculadas a evidencia/código, sin modificar datos.</t>
        </is>
      </c>
    </row>
    <row r="15" ht="28" customHeight="1">
      <c r="A15" s="10" t="inlineStr">
        <is>
          <t>G2</t>
        </is>
      </c>
      <c r="B15" s="10" t="inlineStr">
        <is>
          <t>Cambios implementados y versionados localmente por repositorio.</t>
        </is>
      </c>
    </row>
    <row r="16" ht="28" customHeight="1">
      <c r="A16" s="10" t="inlineStr">
        <is>
          <t>G3</t>
        </is>
      </c>
      <c r="B16" s="10" t="inlineStr">
        <is>
          <t>Compilación PDF + tests relevantes + matriz cerrada y revisión cruzada.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2026-10-14T20:33:38Z</dcterms:created>
  <dcterms:modified xmlns:dcterms="http://purl.org/dc/terms/" xmlns:xsi="http://www.w3.org/2001/XMLSchema-instance" xsi:type="dcterms:W3CDTF">2026-10-14T20:33:38Z</dcterms:modified>
</cp:coreProperties>
</file>