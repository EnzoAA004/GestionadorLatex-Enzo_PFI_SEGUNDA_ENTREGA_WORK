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allazgos" sheetId="1" state="visible" r:id="rId1"/>
    <sheet xmlns:r="http://schemas.openxmlformats.org/officeDocument/2006/relationships" name="Resumen" sheetId="2" state="visible" r:id="rId2"/>
  </sheets>
  <definedNames>
    <definedName name="_xlnm._FilterDatabase" localSheetId="0" hidden="1">'Hallazgos'!$A$1:$H$68</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9"/>
    </font>
    <font>
      <name val="Arial"/>
      <charset val="1"/>
      <family val="0"/>
      <b val="1"/>
      <sz val="9"/>
    </font>
    <font>
      <name val="Arial"/>
      <charset val="1"/>
      <family val="0"/>
      <b val="1"/>
      <sz val="12"/>
    </font>
    <font>
      <name val="Arial"/>
      <charset val="1"/>
      <family val="0"/>
      <b val="1"/>
      <color rgb="FFFFFFFF"/>
      <sz val="11"/>
    </font>
    <font>
      <name val="Arial"/>
      <charset val="1"/>
      <family val="0"/>
      <sz val="10"/>
    </font>
    <font>
      <name val="Arial"/>
      <charset val="1"/>
      <family val="0"/>
      <b val="1"/>
      <sz val="10"/>
    </font>
  </fonts>
  <fills count="6">
    <fill>
      <patternFill/>
    </fill>
    <fill>
      <patternFill patternType="gray125"/>
    </fill>
    <fill>
      <patternFill patternType="solid">
        <fgColor rgb="FF1F3864"/>
        <bgColor rgb="FF333333"/>
      </patternFill>
    </fill>
    <fill>
      <patternFill patternType="solid">
        <fgColor rgb="FFF8CBAD"/>
        <bgColor rgb="FFFFE699"/>
      </patternFill>
    </fill>
    <fill>
      <patternFill patternType="solid">
        <fgColor rgb="FFFFE699"/>
        <bgColor rgb="FFF8CBAD"/>
      </patternFill>
    </fill>
    <fill>
      <patternFill patternType="solid">
        <fgColor rgb="FFC6E0B4"/>
        <bgColor rgb="FFBFBFB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6" fillId="3" borderId="1" applyAlignment="1" pivotButton="0" quotePrefix="0" xfId="0">
      <alignment horizontal="center" vertical="top" wrapText="1"/>
    </xf>
    <xf numFmtId="0" fontId="5" fillId="0" borderId="1" applyAlignment="1" pivotButton="0" quotePrefix="0" xfId="0">
      <alignment horizontal="left" vertical="top" wrapText="1"/>
    </xf>
    <xf numFmtId="0" fontId="6" fillId="4" borderId="1" applyAlignment="1" pivotButton="0" quotePrefix="0" xfId="0">
      <alignment horizontal="center" vertical="top" wrapText="1"/>
    </xf>
    <xf numFmtId="0" fontId="6" fillId="5" borderId="1" applyAlignment="1" pivotButton="0" quotePrefix="0" xfId="0">
      <alignment horizontal="center" vertical="top" wrapText="1"/>
    </xf>
    <xf numFmtId="0" fontId="7" fillId="0" borderId="0" applyAlignment="1" pivotButton="0" quotePrefix="0" xfId="0">
      <alignment horizontal="general" vertical="bottom"/>
    </xf>
    <xf numFmtId="0" fontId="8" fillId="2" borderId="0" applyAlignment="1" pivotButton="0" quotePrefix="0" xfId="0">
      <alignment horizontal="center"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6" fillId="3" borderId="1" applyAlignment="1" pivotButton="0" quotePrefix="0" xfId="0">
      <alignment horizontal="center" vertical="top" wrapText="1"/>
    </xf>
    <xf numFmtId="0" fontId="5" fillId="0" borderId="1" applyAlignment="1" pivotButton="0" quotePrefix="0" xfId="0">
      <alignment horizontal="left" vertical="top" wrapText="1"/>
    </xf>
    <xf numFmtId="0" fontId="6" fillId="4" borderId="1" applyAlignment="1" pivotButton="0" quotePrefix="0" xfId="0">
      <alignment horizontal="center" vertical="top" wrapText="1"/>
    </xf>
    <xf numFmtId="0" fontId="6" fillId="5" borderId="1" applyAlignment="1" pivotButton="0" quotePrefix="0" xfId="0">
      <alignment horizontal="center" vertical="top" wrapText="1"/>
    </xf>
    <xf numFmtId="0" fontId="7" fillId="0" borderId="0" applyAlignment="1" pivotButton="0" quotePrefix="0" xfId="0">
      <alignment horizontal="general" vertical="bottom"/>
    </xf>
    <xf numFmtId="0" fontId="8" fillId="2" borderId="0" applyAlignment="1" pivotButton="0" quotePrefix="0" xfId="0">
      <alignment horizontal="center"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68"/>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1" min="1" max="1"/>
    <col width="10" customWidth="1" style="11" min="2" max="2"/>
    <col width="13" customWidth="1" style="11" min="3" max="3"/>
    <col width="34" customWidth="1" style="11" min="4" max="4"/>
    <col width="80" customWidth="1" style="11" min="5" max="5"/>
    <col width="48" customWidth="1" style="11" min="6" max="6"/>
    <col width="18" customWidth="1" style="11" min="7" max="7"/>
    <col width="12" customWidth="1" style="11" min="8" max="8"/>
    <col width="60" customWidth="1" style="12" min="9" max="9"/>
  </cols>
  <sheetData>
    <row r="1" ht="25.5" customHeight="1" s="12">
      <c r="A1" s="13" t="inlineStr">
        <is>
          <t>#</t>
        </is>
      </c>
      <c r="B1" s="13" t="inlineStr">
        <is>
          <t>Prioridad</t>
        </is>
      </c>
      <c r="C1" s="13" t="inlineStr">
        <is>
          <t>Tipo</t>
        </is>
      </c>
      <c r="D1" s="13" t="inlineStr">
        <is>
          <t>Apartado (pág.)</t>
        </is>
      </c>
      <c r="E1" s="13" t="inlineStr">
        <is>
          <t>Hallazgo</t>
        </is>
      </c>
      <c r="F1" s="13" t="inlineStr">
        <is>
          <t>Sugerencia</t>
        </is>
      </c>
      <c r="G1" s="13" t="inlineStr">
        <is>
          <t>Origen</t>
        </is>
      </c>
      <c r="H1" s="13" t="inlineStr">
        <is>
          <t>Estado</t>
        </is>
      </c>
      <c r="I1" s="13" t="inlineStr">
        <is>
          <t>Acción realizada</t>
        </is>
      </c>
    </row>
    <row r="2" ht="22.35" customHeight="1" s="12">
      <c r="A2" s="14" t="n">
        <v>1</v>
      </c>
      <c r="B2" s="15" t="inlineStr">
        <is>
          <t>Alta</t>
        </is>
      </c>
      <c r="C2" s="14" t="inlineStr">
        <is>
          <t>Mejora</t>
        </is>
      </c>
      <c r="D2" s="16" t="inlineStr">
        <is>
          <t>Inicio (antes de p.2)</t>
        </is>
      </c>
      <c r="E2" s="16" t="inlineStr">
        <is>
          <t>No hay portada, resumen/abstract ni palabras clave. El documento arranca en 'Agradecimientos' y los autores solo se nombran en el Anexo D.</t>
        </is>
      </c>
      <c r="F2" s="16" t="inlineStr">
        <is>
          <t>Agregar portada (título, autores, tutor, carrera, fecha) y resumen ES/EN con palabras clave.</t>
        </is>
      </c>
      <c r="G2" s="14" t="inlineStr">
        <is>
          <t>Lectura del documento</t>
        </is>
      </c>
      <c r="H2" s="14" t="inlineStr">
        <is>
          <t>Parcial</t>
        </is>
      </c>
      <c r="I2" s="16" t="inlineStr">
        <is>
          <t>Portada, resumen ES/EN y palabras clave agregados; faltan legajos y confirmar título.</t>
        </is>
      </c>
    </row>
    <row r="3" ht="22.35" customHeight="1" s="12">
      <c r="A3" s="14" t="n">
        <v>2</v>
      </c>
      <c r="B3" s="15" t="inlineStr">
        <is>
          <t>Alta</t>
        </is>
      </c>
      <c r="C3" s="14" t="inlineStr">
        <is>
          <t>Mejora</t>
        </is>
      </c>
      <c r="D3" s="16" t="inlineStr">
        <is>
          <t>Obj. 4.2 (p.18); caps. 13–15 (pp.137–154); Anexo A.2 (pp.155–158)</t>
        </is>
      </c>
      <c r="E3" s="16" t="inlineStr">
        <is>
          <t>No existe capítulo de Discusión, Conclusiones generales ni Trabajos futuros, solo cierres parciales por capítulo. El último objetivo específico los promete y el cronograma los deja pendientes para nov–dic.</t>
        </is>
      </c>
      <c r="F3" s="16" t="inlineStr">
        <is>
          <t>Capítulo final con matriz objetivo → evidencia → grado de cumplimiento, discusión y líneas futuras.</t>
        </is>
      </c>
      <c r="G3" s="14" t="inlineStr">
        <is>
          <t>Lectura del documento</t>
        </is>
      </c>
      <c r="H3" s="14" t="inlineStr">
        <is>
          <t>Corregido</t>
        </is>
      </c>
      <c r="I3" s="16" t="inlineStr">
        <is>
          <t>Nuevo Cap. 16: matriz objetivo→evidencia→cumplimiento, discusión, límites, conclusiones y trabajos futuros.</t>
        </is>
      </c>
    </row>
    <row r="4" ht="22.35" customHeight="1" s="12">
      <c r="A4" s="14" t="n">
        <v>3</v>
      </c>
      <c r="B4" s="15" t="inlineStr">
        <is>
          <t>Alta</t>
        </is>
      </c>
      <c r="C4" s="14" t="inlineStr">
        <is>
          <t>Sintaxis</t>
        </is>
      </c>
      <c r="D4" s="16" t="inlineStr">
        <is>
          <t>10.4.2 (p.84), 10.4.3 (p.86), 10.7.2 (pp.94–96), 12.3.1 (p.122)</t>
        </is>
      </c>
      <c r="E4" s="16" t="inlineStr">
        <is>
          <t>Quedaron cuatro marcadores '▣ FIGURA … INSERTAR' en lugar de las Figs. 10.4 (modelo de datos), 10.5 (clases), 10.7 (topología GCP) y 12.2 (WIF). El archivo tiene 24 imágenes para 28 figuras listadas.</t>
        </is>
      </c>
      <c r="F4" s="16" t="inlineStr">
        <is>
          <t>Insertar los diagramas o retirar figura y texto asociado, y ajustar la Lista de Figuras.</t>
        </is>
      </c>
      <c r="G4" s="14" t="inlineStr">
        <is>
          <t>Lectura del documento</t>
        </is>
      </c>
      <c r="H4" s="14" t="inlineStr">
        <is>
          <t>Corregido</t>
        </is>
      </c>
      <c r="I4" s="16" t="inlineStr">
        <is>
          <t>Se dibujaron las Figs. 10.4, 10.5, 10.7 y 12.2 y la 10.9 (también faltaba); verificar 10.4/10.5 contra el código.</t>
        </is>
      </c>
    </row>
    <row r="5" ht="43.25" customHeight="1" s="12">
      <c r="A5" s="14" t="n">
        <v>4</v>
      </c>
      <c r="B5" s="15" t="inlineStr">
        <is>
          <t>Alta</t>
        </is>
      </c>
      <c r="C5" s="14" t="inlineStr">
        <is>
          <t>Coherencia</t>
        </is>
      </c>
      <c r="D5" s="16" t="inlineStr">
        <is>
          <t>11.4 (pp.105–106); 13.3–13.4 (pp.126–127); Anexo E.3 (p.189)</t>
        </is>
      </c>
      <c r="E5" s="16" t="inlineStr">
        <is>
          <t>El umbral es 'Dice macro de primer plano ≥ 0,70', pero el valor de las cuatro estructuras (0,811) lo supera y el que 'reprueba' (0,679) incluye una clase llamada 'fondo'. El cálculo (4×0,811+0,15)/5 = 0,679 sugiere que ese promedio abarca 5 clases (4 estructuras + raw_0), no 'dos fondos' como dicen 11.4 y la Tabla 13.2. La fila 3 de la Tabla 13.2 rotula 0,811 como 'cuatro estructuras y un fondo', contra el texto.</t>
        </is>
      </c>
      <c r="F5" s="16" t="inlineStr">
        <is>
          <t>Definir formalmente qué clases entran en la métrica, publicar Dice por clase (las 6) y corregir rótulos. Decidir con claridad si el módulo axial aprueba.</t>
        </is>
      </c>
      <c r="G5" s="14" t="inlineStr">
        <is>
          <t>Lectura del documento</t>
        </is>
      </c>
      <c r="H5" s="14" t="inlineStr">
        <is>
          <t>Parcial</t>
        </is>
      </c>
      <c r="I5" s="16" t="inlineStr">
        <is>
          <t>Métrica definida (4 estructuras + raw_0 = 5 clases), rótulos corregidos y queda claro que el axial no aprueba; falta cargar Dice por clase.</t>
        </is>
      </c>
    </row>
    <row r="6" ht="32.8" customHeight="1" s="12">
      <c r="A6" s="14" t="n">
        <v>5</v>
      </c>
      <c r="B6" s="15" t="inlineStr">
        <is>
          <t>Alta</t>
        </is>
      </c>
      <c r="C6" s="14" t="inlineStr">
        <is>
          <t>Coherencia</t>
        </is>
      </c>
      <c r="D6" s="16" t="inlineStr">
        <is>
          <t>5.4 (p.20) y 11.11.1 (p.116) vs. 7.11.3 (p.49), RF-22 (pp.72–73), Tabla 15.1 (p.153)</t>
        </is>
      </c>
      <c r="E6" s="16" t="inlineStr">
        <is>
          <t>Se afirma que los hallazgos degenerativos están fuera del producto y que 'ninguna de las ocho estimaciones se expone'. Pero 7.11.3 dice que 'el producto puede generar' hallazgos, RF-22 los marca Alta/Implementado y la Tabla 15.1 'implementado e integrado'.</t>
        </is>
      </c>
      <c r="F6" s="16" t="inlineStr">
        <is>
          <t>Unificar ('implementado en Backend+AI, deshabilitado en el producto') y corregir 7.11.3, RF-22 y Tabla 15.1.</t>
        </is>
      </c>
      <c r="G6" s="14" t="inlineStr">
        <is>
          <t>Lectura del documento</t>
        </is>
      </c>
      <c r="H6" s="14" t="inlineStr">
        <is>
          <t>Corregido</t>
        </is>
      </c>
      <c r="I6" s="16" t="inlineStr">
        <is>
          <t>Unificado: implementado en Backend+AI, deshabilitado en el producto (5.4, 7.11.3, RF-22, Tabla 15.1).</t>
        </is>
      </c>
    </row>
    <row r="7" ht="53.7" customHeight="1" s="12">
      <c r="A7" s="14" t="n">
        <v>6</v>
      </c>
      <c r="B7" s="15" t="inlineStr">
        <is>
          <t>Alta</t>
        </is>
      </c>
      <c r="C7" s="14" t="inlineStr">
        <is>
          <t>Coherencia</t>
        </is>
      </c>
      <c r="D7" s="16" t="inlineStr">
        <is>
          <t>6.3.2 (p.24), Tabla 6.4 (p.32), Tabla A.3 (p.158) vs. 6.3.4 (p.25) y 11.11.1 (p.116)</t>
        </is>
      </c>
      <c r="E7" s="16" t="inlineStr">
        <is>
          <t>Se dice que LumbarDISC 'sirvió de base/habilitó' los hallazgos por nivel, pero 6.3.4 atribuye ese modelo a SPIDER. Las 8 etiquetas (Pfirrmann, Modic, listesis…) no son las de LumbarDISC (estenosis). Confirmado externamente: LumbarDISC está anotado solo para estenosis (canal, receso subarticular, foramen) y las gradaciones del modelo (Pfirrmann, Modic, platillos, listesis, hernia, estrechamiento, abombamiento) las publica SPIDER en su release.</t>
        </is>
      </c>
      <c r="F7" s="16" t="inlineStr">
        <is>
          <t>Explicitar por modelo: dataset, etiquetas y partición.</t>
        </is>
      </c>
      <c r="G7" s="14" t="inlineStr">
        <is>
          <t>Lectura del documento</t>
        </is>
      </c>
      <c r="H7" s="14" t="inlineStr">
        <is>
          <t>Corregido</t>
        </is>
      </c>
      <c r="I7" s="16" t="inlineStr">
        <is>
          <t>LumbarDISC = solo estenosis/subarticular; hallazgos por nivel atribuidos a SPIDER.</t>
        </is>
      </c>
    </row>
    <row r="8" ht="32.8" customHeight="1" s="12">
      <c r="A8" s="14" t="n">
        <v>7</v>
      </c>
      <c r="B8" s="15" t="inlineStr">
        <is>
          <t>Alta</t>
        </is>
      </c>
      <c r="C8" s="14" t="inlineStr">
        <is>
          <t>Coherencia</t>
        </is>
      </c>
      <c r="D8" s="16" t="inlineStr">
        <is>
          <t>9.6–9.10 (pp.67–77), 11.7 (p.111), 15.2 (p.153), A.3 (p.158), Anexo F (p.195) vs. 11.12 (p.118), 13.8 (p.128)</t>
        </is>
      </c>
      <c r="E8" s="16" t="inlineStr">
        <is>
          <t>El recorrido E2E con interfaz sobre stack real figura 'pendiente' en unos lugares y con 'Playwright 11/11 PASS / evidencia final' en otros (parte sobre Demo Mode). El Anexo F dice ambas cosas en el mismo apartado.</t>
        </is>
      </c>
      <c r="F8" s="16" t="inlineStr">
        <is>
          <t>Tabla única de qué se probó y dónde (demo / local real / Cloud V2), con evidencia. Ejecutar el recorrido real o declararlo fuera de alcance.</t>
        </is>
      </c>
      <c r="G8" s="14" t="inlineStr">
        <is>
          <t>Lectura del documento</t>
        </is>
      </c>
      <c r="H8" s="14" t="inlineStr">
        <is>
          <t>Parcial</t>
        </is>
      </c>
      <c r="I8" s="16" t="inlineStr">
        <is>
          <t>Tabla única de E2E por entorno (13.6) referenciada en todo el doc; el recorrido real sigue parcial.</t>
        </is>
      </c>
    </row>
    <row r="9" ht="43.25" customHeight="1" s="12">
      <c r="A9" s="14" t="n">
        <v>8</v>
      </c>
      <c r="B9" s="15" t="inlineStr">
        <is>
          <t>Alta</t>
        </is>
      </c>
      <c r="C9" s="14" t="inlineStr">
        <is>
          <t>Coherencia</t>
        </is>
      </c>
      <c r="D9" s="16" t="inlineStr">
        <is>
          <t>RV-02/03 (p.76), RF-21 y RNF-09 (pp.73–75), Tablas 13.5 y H.1 (pp.134, 208), A.1 (p.155), Tabla 15.1 (pp.152–153), Anexo F (p.195)</t>
        </is>
      </c>
      <c r="E9" s="16" t="inlineStr">
        <is>
          <t>Estados desactualizados en una entrega '100 %'. Validaciones 'En curso' aunque el cap. 13 las da por hechas. Tablas 13.5/H.1 admiten estar 'al 6 de octubre… requieren actualización'. Anexo A marca el 50 % 'En curso' y el 75 % 'Previsto'. Anexo F lista como 'Pendiente' la validación profesional, el negocio y Cloud, ya presentados. El archivo dice 'Tercera entrega 100 %' pero el cronograma deja el 75 % como futuro.</t>
        </is>
      </c>
      <c r="F9" s="16" t="inlineStr">
        <is>
          <t>Actualizar estados y fechas y aclarar a qué hito corresponde esta entrega.</t>
        </is>
      </c>
      <c r="G9" s="14" t="inlineStr">
        <is>
          <t>Lectura del documento</t>
        </is>
      </c>
      <c r="H9" s="14" t="inlineStr">
        <is>
          <t>Corregido</t>
        </is>
      </c>
      <c r="I9" s="16" t="inlineStr">
        <is>
          <t>Estados actualizados (RV, RF-21, RNF-09, A.1, Anexo F, 15.1); se aclara que es la entrega del 75 %.</t>
        </is>
      </c>
    </row>
    <row r="10" ht="32.8" customHeight="1" s="12">
      <c r="A10" s="14" t="n">
        <v>9</v>
      </c>
      <c r="B10" s="15" t="inlineStr">
        <is>
          <t>Alta</t>
        </is>
      </c>
      <c r="C10" s="14" t="inlineStr">
        <is>
          <t>Coherencia</t>
        </is>
      </c>
      <c r="D10" s="16" t="inlineStr">
        <is>
          <t>5.4 (p.20), RF-08/HU-14 (pp.68, 70), 5.5 (p.21), RNF-07 (p.75) vs. 11.12 (p.119), 13.8 (p.129)</t>
        </is>
      </c>
      <c r="E10" s="16" t="inlineStr">
        <is>
          <t>La comparación longitudinal es 'futura' en 5.4, RF-08 y HU-14, pero 'Parcial' en la Tabla 11.5 y 'PASS' en la 13.4. Se afirma que subjectRef no es la identidad longitudinal, mientras las tablas la describen 'basada principalmente en subjectRef/Demo Mode'.</t>
        </is>
      </c>
      <c r="F10" s="16" t="inlineStr">
        <is>
          <t>Fijar el estado real con su evidencia y explicar Patient/subjectRef en un solo lugar.</t>
        </is>
      </c>
      <c r="G10" s="14" t="inlineStr">
        <is>
          <t>Lectura del documento</t>
        </is>
      </c>
      <c r="H10" s="14" t="inlineStr">
        <is>
          <t>Corregido</t>
        </is>
      </c>
      <c r="I10" s="16" t="inlineStr">
        <is>
          <t>Longitudinal = Parcial en todos lados; Patient/subjectRef explicado solo en 5.5.</t>
        </is>
      </c>
    </row>
    <row r="11" ht="43.25" customHeight="1" s="12">
      <c r="A11" s="14" t="n">
        <v>10</v>
      </c>
      <c r="B11" s="15" t="inlineStr">
        <is>
          <t>Alta</t>
        </is>
      </c>
      <c r="C11" s="14" t="inlineStr">
        <is>
          <t>Coherencia</t>
        </is>
      </c>
      <c r="D11" s="16" t="inlineStr">
        <is>
          <t>13.8 (pp.128–129), 10.7.2 (p.96), 13.10 (p.132)</t>
        </is>
      </c>
      <c r="E11" s="16" t="inlineStr">
        <is>
          <t>Aparecen elementos que no están en alcance, requerimientos ni capacidades: chat contextual con LLM ('mock', Qwen, recurso pfi-llm-qwen-v2), Grad-CAM, export PDF/JSON, Demo Mode, '67B2/67C' y flags como productEnabled=false. Contrastan con el énfasis en 'no LLM' (7.10.4, p.48) y no se definen en el cuerpo.</t>
        </is>
      </c>
      <c r="F11" s="16" t="inlineStr">
        <is>
          <t>Incorporarlos formalmente (alcance, RF, capacidad) o retirarlos. Definir Demo Mode y los códigos internos.</t>
        </is>
      </c>
      <c r="G11" s="14" t="inlineStr">
        <is>
          <t>Lectura del documento</t>
        </is>
      </c>
      <c r="H11" s="14" t="inlineStr">
        <is>
          <t>Parcial</t>
        </is>
      </c>
      <c r="I11" s="16" t="inlineStr">
        <is>
          <t>Nueva 11.11.3 (chat LLM, Grad-CAM, Demo Mode); códigos internos a Anexo F.6; confirmar si se ven en la UI.</t>
        </is>
      </c>
    </row>
    <row r="12" ht="32.8" customHeight="1" s="12">
      <c r="A12" s="14" t="n">
        <v>11</v>
      </c>
      <c r="B12" s="15" t="inlineStr">
        <is>
          <t>Alta</t>
        </is>
      </c>
      <c r="C12" s="14" t="inlineStr">
        <is>
          <t>Coherencia</t>
        </is>
      </c>
      <c r="D12" s="16" t="inlineStr">
        <is>
          <t>13.2 (p.125), 11.4 (p.106), 13.5 (p.127)</t>
        </is>
      </c>
      <c r="E12" s="16" t="inlineStr">
        <is>
          <t>Módulo axial: conteos de entrenamiento 'pendientes de recuperación', 'dos particiones que no coinciden' y partición de prueba ya usada antes. Los '81/102 casos' no cuadran con 515 pacientes y 1.545 máscaras (6.3.3). Hay riesgo de fuga y la evaluación no es reproducible.</t>
        </is>
      </c>
      <c r="F12" s="16" t="inlineStr">
        <is>
          <t>Reconstruir la partición o reevaluar con un split documentado (por paciente, con semilla) y publicar conteos.</t>
        </is>
      </c>
      <c r="G12" s="14" t="inlineStr">
        <is>
          <t>Lectura del documento</t>
        </is>
      </c>
      <c r="H12" s="14" t="inlineStr">
        <is>
          <t>Parcial</t>
        </is>
      </c>
      <c r="I12" s="16" t="inlineStr">
        <is>
          <t>Limitación explícita y recomendación de reevaluar; faltan conteos de la partición.</t>
        </is>
      </c>
    </row>
    <row r="13" ht="22.35" customHeight="1" s="12">
      <c r="A13" s="14" t="n">
        <v>12</v>
      </c>
      <c r="B13" s="15" t="inlineStr">
        <is>
          <t>Alta</t>
        </is>
      </c>
      <c r="C13" s="14" t="inlineStr">
        <is>
          <t>Coherencia</t>
        </is>
      </c>
      <c r="D13" s="16" t="inlineStr">
        <is>
          <t>5.3 (p.20), RV-01 (p.76), 13.4 (p.127), E.3 (p.189), 13.12 (p.136)</t>
        </is>
      </c>
      <c r="E13" s="16" t="inlineStr">
        <is>
          <t>Se exige IoU como control 'no configurable', pero la Tabla 13.2 solo informa Dice. HD95 y NSD se desarrollan en 7.9 (pp.46–47) y no se usan. El proyecto incumple su propio criterio de promoción.</t>
        </is>
      </c>
      <c r="F13" s="16" t="inlineStr">
        <is>
          <t>Reportar IoU (y por clase) y, si es posible, HD95. Si no, recortar 7.9 y el objetivo.</t>
        </is>
      </c>
      <c r="G13" s="14" t="inlineStr">
        <is>
          <t>Lectura del documento</t>
        </is>
      </c>
      <c r="H13" s="14" t="inlineStr">
        <is>
          <t>Parcial</t>
        </is>
      </c>
      <c r="I13" s="16" t="inlineStr">
        <is>
          <t>IoU incorporado como columna (Tabla 13.3) y HD95/NSD declarados como futuro; faltan valores.</t>
        </is>
      </c>
    </row>
    <row r="14" ht="32.8" customHeight="1" s="12">
      <c r="A14" s="14" t="n">
        <v>13</v>
      </c>
      <c r="B14" s="15" t="inlineStr">
        <is>
          <t>Alta</t>
        </is>
      </c>
      <c r="C14" s="14" t="inlineStr">
        <is>
          <t>Mejora</t>
        </is>
      </c>
      <c r="D14" s="16" t="inlineStr">
        <is>
          <t>14.1, 14.8–14.10 (pp.138, 145–147)</t>
        </is>
      </c>
      <c r="E14" s="16" t="inlineStr">
        <is>
          <t>El modelo financiero no es reproducible. No se cuantifican altas mensuales, churn, estudios por cliente ni CAPEX. La tasa del 25 % aparece recién en 14.10. Hay '13,41 clientes activos'. La planilla fuente no se adjunta.</t>
        </is>
      </c>
      <c r="F14" s="16" t="inlineStr">
        <is>
          <t>Tabla de supuestos, anexar el libro de cálculo y explicar o redondear valores fraccionarios.</t>
        </is>
      </c>
      <c r="G14" s="14" t="inlineStr">
        <is>
          <t>Lectura del documento</t>
        </is>
      </c>
      <c r="H14" s="14" t="inlineStr">
        <is>
          <t>Parcial</t>
        </is>
      </c>
      <c r="I14" s="16" t="inlineStr">
        <is>
          <t>Tabla de supuestos, tasa 25 % en 14.8, explicación de 13,41; faltan valores de la planilla y adjuntarla.</t>
        </is>
      </c>
    </row>
    <row r="15" ht="32.8" customHeight="1" s="12">
      <c r="A15" s="14" t="n">
        <v>14</v>
      </c>
      <c r="B15" s="15" t="inlineStr">
        <is>
          <t>Alta</t>
        </is>
      </c>
      <c r="C15" s="14" t="inlineStr">
        <is>
          <t>Mejora</t>
        </is>
      </c>
      <c r="D15" s="16" t="inlineStr">
        <is>
          <t>13.11 (p.132), H.2 (p.203), 8.3 (p.53), 6.7.4 (p.29), D.1 (p.169)</t>
        </is>
      </c>
      <c r="E15" s="16" t="inlineStr">
        <is>
          <t>La validación profesional se apoya en 'la reconstrucción de los autores': sin fecha, duración, lugar ni registro. Las dos profesionales ya habían sido entrevistadas (EN-01, EN-03). La Dra. Torres trabaja en Prenuvo (D.1), que se analiza como competidor (6.7.4) con datos de esa fuente y sin referencia.</t>
        </is>
      </c>
      <c r="F15" s="16" t="inlineStr">
        <is>
          <t>Registrar fechas, guion, consentimiento y evidencia (capturas/video). Declarar el conflicto de interés y citar a Prenuvo.</t>
        </is>
      </c>
      <c r="G15" s="14" t="inlineStr">
        <is>
          <t>Lectura del documento</t>
        </is>
      </c>
      <c r="H15" s="14" t="inlineStr">
        <is>
          <t>Parcial</t>
        </is>
      </c>
      <c r="I15" s="16" t="inlineStr">
        <is>
          <t>Conflicto de interés declarado (6.7.4, 8.3, 13.11); faltan fechas, guion, consentimiento y evidencia.</t>
        </is>
      </c>
    </row>
    <row r="16" ht="22.35" customHeight="1" s="12">
      <c r="A16" s="14" t="n">
        <v>15</v>
      </c>
      <c r="B16" s="15" t="inlineStr">
        <is>
          <t>Alta</t>
        </is>
      </c>
      <c r="C16" s="14" t="inlineStr">
        <is>
          <t>Mejora</t>
        </is>
      </c>
      <c r="D16" s="16" t="inlineStr">
        <is>
          <t>13.8 (p.128)</t>
        </is>
      </c>
      <c r="E16" s="16" t="inlineStr">
        <is>
          <t>La suite del AI Module cierra con 479 pruebas aprobadas y 40 fallidas (≈7,7 %), explicadas como 'brechas ambientales'. El Backend omite 78.</t>
        </is>
      </c>
      <c r="F16" s="16" t="inlineStr">
        <is>
          <t>Corregir o aislar con skips justificados para presentar una suite verde y reproducible.</t>
        </is>
      </c>
      <c r="G16" s="14" t="inlineStr">
        <is>
          <t>Lectura del documento</t>
        </is>
      </c>
      <c r="H16" s="14" t="inlineStr">
        <is>
          <t>Pendiente</t>
        </is>
      </c>
      <c r="I16" s="16" t="inlineStr">
        <is>
          <t>Texto ajustado; hay que corregir/aislar los 40 tests en el código.</t>
        </is>
      </c>
    </row>
    <row r="17" ht="22.35" customHeight="1" s="12">
      <c r="A17" s="14" t="n">
        <v>16</v>
      </c>
      <c r="B17" s="17" t="inlineStr">
        <is>
          <t>Media</t>
        </is>
      </c>
      <c r="C17" s="14" t="inlineStr">
        <is>
          <t>Duplicidad</t>
        </is>
      </c>
      <c r="D17" s="16" t="inlineStr">
        <is>
          <t>1. Introducción (p.15)</t>
        </is>
      </c>
      <c r="E17" s="16" t="inlineStr">
        <is>
          <t>El 2.º y 3.er párrafo ('La organización del documento avanza…') dicen lo mismo con redacción casi idéntica.</t>
        </is>
      </c>
      <c r="F17" s="16" t="inlineStr">
        <is>
          <t>Dejar uno.</t>
        </is>
      </c>
      <c r="G17" s="14" t="inlineStr">
        <is>
          <t>Lectura del documento</t>
        </is>
      </c>
      <c r="H17" s="14" t="inlineStr">
        <is>
          <t>Corregido</t>
        </is>
      </c>
      <c r="I17" s="16" t="inlineStr">
        <is>
          <t>Párrafo duplicado eliminado.</t>
        </is>
      </c>
    </row>
    <row r="18" ht="22.35" customHeight="1" s="12">
      <c r="A18" s="14" t="n">
        <v>17</v>
      </c>
      <c r="B18" s="17" t="inlineStr">
        <is>
          <t>Media</t>
        </is>
      </c>
      <c r="C18" s="14" t="inlineStr">
        <is>
          <t>Duplicidad</t>
        </is>
      </c>
      <c r="D18" s="16" t="inlineStr">
        <is>
          <t>5.5–5.6 (p.21)</t>
        </is>
      </c>
      <c r="E18" s="16" t="inlineStr">
        <is>
          <t>Dos párrafos de cierre ('Este documento reúne…' / 'El documento final integra…'). El primero tiene estilo de título y falta el '5.6 Alcance del documento final' que lista el índice.</t>
        </is>
      </c>
      <c r="F18" s="16" t="inlineStr">
        <is>
          <t>Dejar uno bajo su título 5.6.</t>
        </is>
      </c>
      <c r="G18" s="14" t="inlineStr">
        <is>
          <t>Lectura del documento</t>
        </is>
      </c>
      <c r="H18" s="14" t="inlineStr">
        <is>
          <t>Corregido</t>
        </is>
      </c>
      <c r="I18" s="16" t="inlineStr">
        <is>
          <t>Unificado bajo 5.6.</t>
        </is>
      </c>
    </row>
    <row r="19" ht="22.35" customHeight="1" s="12">
      <c r="A19" s="14" t="n">
        <v>18</v>
      </c>
      <c r="B19" s="17" t="inlineStr">
        <is>
          <t>Media</t>
        </is>
      </c>
      <c r="C19" s="14" t="inlineStr">
        <is>
          <t>Duplicidad</t>
        </is>
      </c>
      <c r="D19" s="16" t="inlineStr">
        <is>
          <t>6.3.3 (p.24), 7.2.3 (p.39), Anexo C (p.167)</t>
        </is>
      </c>
      <c r="E19" s="16" t="inlineStr">
        <is>
          <t>El dataset Sudirman/Al-Kafri (515 pacientes, 5 anotadores, headers DICOM 0,6875 mm / 4 mm) se describe tres veces casi literal.</t>
        </is>
      </c>
      <c r="F19" s="16" t="inlineStr">
        <is>
          <t>Describirlo una vez y referenciar.</t>
        </is>
      </c>
      <c r="G19" s="14" t="inlineStr">
        <is>
          <t>Lectura del documento</t>
        </is>
      </c>
      <c r="H19" s="14" t="inlineStr">
        <is>
          <t>Corregido</t>
        </is>
      </c>
      <c r="I19" s="16" t="inlineStr">
        <is>
          <t>Dataset descrito solo en 6.3.3.</t>
        </is>
      </c>
    </row>
    <row r="20" ht="22.35" customHeight="1" s="12">
      <c r="A20" s="14" t="n">
        <v>19</v>
      </c>
      <c r="B20" s="17" t="inlineStr">
        <is>
          <t>Media</t>
        </is>
      </c>
      <c r="C20" s="14" t="inlineStr">
        <is>
          <t>Duplicidad</t>
        </is>
      </c>
      <c r="D20" s="16" t="inlineStr">
        <is>
          <t>13.4–13.6 (p.127); 11.5 (p.108)</t>
        </is>
      </c>
      <c r="E20" s="16" t="inlineStr">
        <is>
          <t>Dos párrafos repiten la crítica al umbral. El párrafo sobre 'mediciones sin validación formal' está en 13.5, 13.6 y 11.5.</t>
        </is>
      </c>
      <c r="F20" s="16" t="inlineStr">
        <is>
          <t>Consolidar en un solo lugar.</t>
        </is>
      </c>
      <c r="G20" s="14" t="inlineStr">
        <is>
          <t>Lectura del documento</t>
        </is>
      </c>
      <c r="H20" s="14" t="inlineStr">
        <is>
          <t>Corregido</t>
        </is>
      </c>
      <c r="I20" s="16" t="inlineStr">
        <is>
          <t>Duplicados de 13.4/13.5/11.5 eliminados.</t>
        </is>
      </c>
    </row>
    <row r="21" ht="15" customHeight="1" s="12">
      <c r="A21" s="14" t="n">
        <v>20</v>
      </c>
      <c r="B21" s="17" t="inlineStr">
        <is>
          <t>Media</t>
        </is>
      </c>
      <c r="C21" s="14" t="inlineStr">
        <is>
          <t>Duplicidad</t>
        </is>
      </c>
      <c r="D21" s="16" t="inlineStr">
        <is>
          <t>13.12 (pp.136–137)</t>
        </is>
      </c>
      <c r="E21" s="16" t="inlineStr">
        <is>
          <t>Seis viñetas y un párrafo con tres pares repetidos (conteos axiales, HD95, comparación diagnóstica).</t>
        </is>
      </c>
      <c r="F21" s="16" t="inlineStr">
        <is>
          <t>Reducir a 4 viñetas.</t>
        </is>
      </c>
      <c r="G21" s="14" t="inlineStr">
        <is>
          <t>Lectura del documento</t>
        </is>
      </c>
      <c r="H21" s="14" t="inlineStr">
        <is>
          <t>Corregido</t>
        </is>
      </c>
      <c r="I21" s="16" t="inlineStr">
        <is>
          <t>13.12 reducido sin repeticiones.</t>
        </is>
      </c>
    </row>
    <row r="22" ht="22.35" customHeight="1" s="12">
      <c r="A22" s="14" t="n">
        <v>21</v>
      </c>
      <c r="B22" s="17" t="inlineStr">
        <is>
          <t>Media</t>
        </is>
      </c>
      <c r="C22" s="14" t="inlineStr">
        <is>
          <t>Duplicidad</t>
        </is>
      </c>
      <c r="D22" s="16" t="inlineStr">
        <is>
          <t>14.14–14.15 (pp.150–151)</t>
        </is>
      </c>
      <c r="E22" s="16" t="inlineStr">
        <is>
          <t>La lista numerada va '3, 2, 3, 4, 5, 6, 7, 10, 9, 10' (falta el 8 y hay ítems repetidos). Tres párrafos de cierre redundantes, uno con estilo de título.</t>
        </is>
      </c>
      <c r="F22" s="16" t="inlineStr">
        <is>
          <t>Renumerar, deduplicar y dejar un único cierre.</t>
        </is>
      </c>
      <c r="G22" s="14" t="inlineStr">
        <is>
          <t>Lectura del documento</t>
        </is>
      </c>
      <c r="H22" s="14" t="inlineStr">
        <is>
          <t>Corregido</t>
        </is>
      </c>
      <c r="I22" s="16" t="inlineStr">
        <is>
          <t>Lista renumerada 1–8 y un único cierre.</t>
        </is>
      </c>
    </row>
    <row r="23" ht="22.35" customHeight="1" s="12">
      <c r="A23" s="14" t="n">
        <v>22</v>
      </c>
      <c r="B23" s="17" t="inlineStr">
        <is>
          <t>Media</t>
        </is>
      </c>
      <c r="C23" s="14" t="inlineStr">
        <is>
          <t>Duplicidad</t>
        </is>
      </c>
      <c r="D23" s="16" t="inlineStr">
        <is>
          <t>10.7.1–10.7.3 (pp.94–97), 13.9 (pp.130–131), 12.3.1 (p.122)</t>
        </is>
      </c>
      <c r="E23" s="16" t="inlineStr">
        <is>
          <t>La configuración de V2, las aclaraciones V1/V2, la pausa del 23/09 y 'RUNNABLE/ALWAYS' se repiten 3 a 5 veces. El texto repite además la tabla 10.7.2.</t>
        </is>
      </c>
      <c r="F23" s="16" t="inlineStr">
        <is>
          <t>Una sola explicación V1/V2 con referencias cruzadas.</t>
        </is>
      </c>
      <c r="G23" s="14" t="inlineStr">
        <is>
          <t>Lectura del documento</t>
        </is>
      </c>
      <c r="H23" s="14" t="inlineStr">
        <is>
          <t>Corregido</t>
        </is>
      </c>
      <c r="I23" s="16" t="inlineStr">
        <is>
          <t>10.7, 12.3.1 y 13.9 condensados.</t>
        </is>
      </c>
    </row>
    <row r="24" ht="22.35" customHeight="1" s="12">
      <c r="A24" s="14" t="n">
        <v>23</v>
      </c>
      <c r="B24" s="17" t="inlineStr">
        <is>
          <t>Media</t>
        </is>
      </c>
      <c r="C24" s="14" t="inlineStr">
        <is>
          <t>Duplicidad</t>
        </is>
      </c>
      <c r="D24" s="16" t="inlineStr">
        <is>
          <t>13.11 (pp.132–135) vs. Anexo H.3–H.6 (pp.204–208)</t>
        </is>
      </c>
      <c r="E24" s="16" t="inlineStr">
        <is>
          <t>La Tabla 13.5 es igual a la H.1. Fichas y síntesis repetidas. En H.4 hay viñetas duplicadas y su 'Limitaciones' copia el texto de H.5.</t>
        </is>
      </c>
      <c r="F24" s="16" t="inlineStr">
        <is>
          <t>Resumen en el cap. 13 y detalle en el Anexo H.</t>
        </is>
      </c>
      <c r="G24" s="14" t="inlineStr">
        <is>
          <t>Lectura del documento</t>
        </is>
      </c>
      <c r="H24" s="14" t="inlineStr">
        <is>
          <t>Corregido</t>
        </is>
      </c>
      <c r="I24" s="16" t="inlineStr">
        <is>
          <t>Tabla 13.5 y fichas eliminadas del cap. 13 (quedan en Anexo H); duplicados de H.4 corregidos.</t>
        </is>
      </c>
    </row>
    <row r="25" ht="22.35" customHeight="1" s="12">
      <c r="A25" s="14" t="n">
        <v>24</v>
      </c>
      <c r="B25" s="17" t="inlineStr">
        <is>
          <t>Media</t>
        </is>
      </c>
      <c r="C25" s="14" t="inlineStr">
        <is>
          <t>Duplicidad</t>
        </is>
      </c>
      <c r="D25" s="16" t="inlineStr">
        <is>
          <t>Transversal (pp.68–77 y otras)</t>
        </is>
      </c>
      <c r="E25" s="16" t="inlineStr">
        <is>
          <t>'Comparación diagnóstica independiente no realizada' aparece 15 veces. 'No equivale a validación clínica' aparece 13. 'No se documentó el cierre E2E global' figura en HU-07, HU-10, RF-09, RF-18 y la matriz.</t>
        </is>
      </c>
      <c r="F25" s="16" t="inlineStr">
        <is>
          <t>Una sección 'Límites de la evidencia' y referenciarla.</t>
        </is>
      </c>
      <c r="G25" s="14" t="inlineStr">
        <is>
          <t>Lectura del documento</t>
        </is>
      </c>
      <c r="H25" s="14" t="inlineStr">
        <is>
          <t>Parcial</t>
        </is>
      </c>
      <c r="I25" s="16" t="inlineStr">
        <is>
          <t>Límites consolidados en 16.3; se recortaron repeticiones en tablas del cap. 9; quedan algunas menciones.</t>
        </is>
      </c>
    </row>
    <row r="26" ht="22.35" customHeight="1" s="12">
      <c r="A26" s="14" t="n">
        <v>25</v>
      </c>
      <c r="B26" s="17" t="inlineStr">
        <is>
          <t>Media</t>
        </is>
      </c>
      <c r="C26" s="14" t="inlineStr">
        <is>
          <t>Duplicidad</t>
        </is>
      </c>
      <c r="D26" s="16" t="inlineStr">
        <is>
          <t>9.7 (pp.69–73), 10.4.3–10.5 (pp.86–87)</t>
        </is>
      </c>
      <c r="E26" s="16" t="inlineStr">
        <is>
          <t>RF-15 y RF-23 son casi idénticos y RF-05 y RF-25 se solapan. La frase 'La vista de procesos describe…' está duplicada. Patient/patientId/subjectRef se reexplica en 5.5, 8.6, 10.4.2, 11.9 y RNF-07.</t>
        </is>
      </c>
      <c r="F26" s="16" t="inlineStr">
        <is>
          <t>Fusionar RF y dejar una explicación del modelo Patient.</t>
        </is>
      </c>
      <c r="G26" s="14" t="inlineStr">
        <is>
          <t>Lectura del documento</t>
        </is>
      </c>
      <c r="H26" s="14" t="inlineStr">
        <is>
          <t>Corregido</t>
        </is>
      </c>
      <c r="I26" s="16" t="inlineStr">
        <is>
          <t>RF-23→RF-15, RF-25→RF-05; frase duplicada eliminada.</t>
        </is>
      </c>
    </row>
    <row r="27" ht="43.25" customHeight="1" s="12">
      <c r="A27" s="14" t="n">
        <v>26</v>
      </c>
      <c r="B27" s="17" t="inlineStr">
        <is>
          <t>Media</t>
        </is>
      </c>
      <c r="C27" s="14" t="inlineStr">
        <is>
          <t>Coherencia</t>
        </is>
      </c>
      <c r="D27" s="16" t="inlineStr">
        <is>
          <t>9.1 (p.65), 10.8 (p.98), 11.8 (p.112), 14.2.1 (p.140), Anexo C (p.167), Anexo F (p.192)</t>
        </is>
      </c>
      <c r="E27" s="16" t="inlineStr">
        <is>
          <t>Referencias cruzadas erróneas. 9.1 dice que RF/RNF/RV 'conservan el significado del Cap. 8', que define N-xx/EN. 10.8 remite a 'vista de procesos (10.4.1)' y es la 10.5. 11.8 remite a 8.12 y es la 8.11.2. 14.2.1 dice que el human-in-the-loop está 'descrito en este capítulo' y está en 7.11.2. El Anexo C cita [5] (SPINEPS) para el dataset axial y es [3]. El Anexo F cita 'Tabla 9.1' y es F.1.</t>
        </is>
      </c>
      <c r="F27" s="16" t="inlineStr">
        <is>
          <t>Corregir.</t>
        </is>
      </c>
      <c r="G27" s="14" t="inlineStr">
        <is>
          <t>Lectura del documento</t>
        </is>
      </c>
      <c r="H27" s="14" t="inlineStr">
        <is>
          <t>Corregido</t>
        </is>
      </c>
      <c r="I27" s="16" t="inlineStr">
        <is>
          <t>Las 6 referencias cruzadas corregidas.</t>
        </is>
      </c>
    </row>
    <row r="28" ht="22.35" customHeight="1" s="12">
      <c r="A28" s="14" t="n">
        <v>27</v>
      </c>
      <c r="B28" s="17" t="inlineStr">
        <is>
          <t>Media</t>
        </is>
      </c>
      <c r="C28" s="14" t="inlineStr">
        <is>
          <t>Coherencia</t>
        </is>
      </c>
      <c r="D28" s="16" t="inlineStr">
        <is>
          <t>9.2 (p.65), 9.10 (pp.76–77)</t>
        </is>
      </c>
      <c r="E28" s="16" t="inlineStr">
        <is>
          <t>Se afirma que todo requerimiento nace de una necesidad, pero RF-11/12 citan 'alcance de seguridad' y RF-22 'estado del arte'. La matriz omite RF-22 a RF-25, RNF-02/08/10 y los RV.</t>
        </is>
      </c>
      <c r="F28" s="16" t="inlineStr">
        <is>
          <t>Completar la matriz y trazar cada RF.</t>
        </is>
      </c>
      <c r="G28" s="14" t="inlineStr">
        <is>
          <t>Lectura del documento</t>
        </is>
      </c>
      <c r="H28" s="14" t="inlineStr">
        <is>
          <t>Corregido</t>
        </is>
      </c>
      <c r="I28" s="16" t="inlineStr">
        <is>
          <t>Fuentes de RF explicitadas y matriz completada.</t>
        </is>
      </c>
    </row>
    <row r="29" ht="22.35" customHeight="1" s="12">
      <c r="A29" s="14" t="n">
        <v>28</v>
      </c>
      <c r="B29" s="17" t="inlineStr">
        <is>
          <t>Media</t>
        </is>
      </c>
      <c r="C29" s="14" t="inlineStr">
        <is>
          <t>Coherencia</t>
        </is>
      </c>
      <c r="D29" s="16" t="inlineStr">
        <is>
          <t>10.3 (p.80), 10.5.2 (p.89), 10.6.3 (pp.90–91) vs. 10.7.3 (p.97), ADR-007 (p.201)</t>
        </is>
      </c>
      <c r="E29" s="16" t="inlineStr">
        <is>
          <t>Google Cloud, Secret Manager y storage figuran como 'arquitectura objetivo / implementación planificada' y a la vez como 'Desplegado/validado'.</t>
        </is>
      </c>
      <c r="F29" s="16" t="inlineStr">
        <is>
          <t>Unificar en presente según el estado real.</t>
        </is>
      </c>
      <c r="G29" s="14" t="inlineStr">
        <is>
          <t>Lectura del documento</t>
        </is>
      </c>
      <c r="H29" s="14" t="inlineStr">
        <is>
          <t>Corregido</t>
        </is>
      </c>
      <c r="I29" s="16" t="inlineStr">
        <is>
          <t>GCP en presente: desplegado/validado DEV/E2E.</t>
        </is>
      </c>
    </row>
    <row r="30" ht="22.35" customHeight="1" s="12">
      <c r="A30" s="14" t="n">
        <v>29</v>
      </c>
      <c r="B30" s="17" t="inlineStr">
        <is>
          <t>Media</t>
        </is>
      </c>
      <c r="C30" s="14" t="inlineStr">
        <is>
          <t>Coherencia</t>
        </is>
      </c>
      <c r="D30" s="16" t="inlineStr">
        <is>
          <t>10.9.4 (p.101), 8.5 (p.54), 8.11.2 (p.60), 11.5 (p.107)</t>
        </is>
      </c>
      <c r="E30" s="16" t="inlineStr">
        <is>
          <t>No mostrar confianza numérica se justifica con 'las entrevistas lo señalaron', pero no consta en la Tabla 8.5. La encuesta lo ubica como 2.º requisito de confianza y el sistema calcula una 'confianza media'.</t>
        </is>
      </c>
      <c r="F30" s="16" t="inlineStr">
        <is>
          <t>Trazar la decisión y reconciliarla con la encuesta.</t>
        </is>
      </c>
      <c r="G30" s="14" t="inlineStr">
        <is>
          <t>Lectura del documento</t>
        </is>
      </c>
      <c r="H30" s="14" t="inlineStr">
        <is>
          <t>Corregido</t>
        </is>
      </c>
      <c r="I30" s="16" t="inlineStr">
        <is>
          <t>10.9.4 reescrita como criterio propio, reconciliada con encuesta.</t>
        </is>
      </c>
    </row>
    <row r="31" ht="22.35" customHeight="1" s="12">
      <c r="A31" s="14" t="n">
        <v>30</v>
      </c>
      <c r="B31" s="17" t="inlineStr">
        <is>
          <t>Media</t>
        </is>
      </c>
      <c r="C31" s="14" t="inlineStr">
        <is>
          <t>Coherencia</t>
        </is>
      </c>
      <c r="D31" s="16" t="inlineStr">
        <is>
          <t>5.3 (p.20), 8.6 (p.55), 12.5 (p.123), 13.10 (p.132)</t>
        </is>
      </c>
      <c r="E31" s="16" t="inlineStr">
        <is>
          <t>Cuatro esquemas distintos de 'niveles de validación': 3 bloques, 4, 9 capas y 6 niveles.</t>
        </is>
      </c>
      <c r="F31" s="16" t="inlineStr">
        <is>
          <t>Unificar en un único esquema.</t>
        </is>
      </c>
      <c r="G31" s="14" t="inlineStr">
        <is>
          <t>Lectura del documento</t>
        </is>
      </c>
      <c r="H31" s="14" t="inlineStr">
        <is>
          <t>Corregido</t>
        </is>
      </c>
      <c r="I31" s="16" t="inlineStr">
        <is>
          <t>Esquema único: 6 niveles de 13.10.</t>
        </is>
      </c>
    </row>
    <row r="32" ht="22.35" customHeight="1" s="12">
      <c r="A32" s="14" t="n">
        <v>31</v>
      </c>
      <c r="B32" s="17" t="inlineStr">
        <is>
          <t>Media</t>
        </is>
      </c>
      <c r="C32" s="14" t="inlineStr">
        <is>
          <t>Coherencia</t>
        </is>
      </c>
      <c r="D32" s="16" t="inlineStr">
        <is>
          <t>8.11.1–8.11.2 (pp.59–60)</t>
        </is>
      </c>
      <c r="E32" s="16" t="inlineStr">
        <is>
          <t>Se excluyen perfiles ajenos al universo, pero se reportan 'residentes', no incluidos en su definición. No queda claro si las 167 respuestas son antes o después de depurar. No hay cuestionario ni n por ítem.</t>
        </is>
      </c>
      <c r="F32" s="16" t="inlineStr">
        <is>
          <t>Aclarar y anexar el cuestionario y datos agregados.</t>
        </is>
      </c>
      <c r="G32" s="14" t="inlineStr">
        <is>
          <t>Lectura del documento</t>
        </is>
      </c>
      <c r="H32" s="14" t="inlineStr">
        <is>
          <t>Parcial</t>
        </is>
      </c>
      <c r="I32" s="16" t="inlineStr">
        <is>
          <t>Residentes incluidos en el universo; falta n por ítem y anexar cuestionario (Anexo K).</t>
        </is>
      </c>
    </row>
    <row r="33" ht="32.8" customHeight="1" s="12">
      <c r="A33" s="14" t="n">
        <v>32</v>
      </c>
      <c r="B33" s="17" t="inlineStr">
        <is>
          <t>Media</t>
        </is>
      </c>
      <c r="C33" s="14" t="inlineStr">
        <is>
          <t>Coherencia</t>
        </is>
      </c>
      <c r="D33" s="16" t="inlineStr">
        <is>
          <t>6.10 y Tabla 6.3 (pp.31–32) vs. Tabla 6.5 (p.34); 6.7.5 (p.29), 6.13 (p.37)</t>
        </is>
      </c>
      <c r="E33" s="16" t="inlineStr">
        <is>
          <t>6.10 presenta el axial como 'validado', pero el FODA admite que no alcanza el umbral y que no hay registro validado entre secuencias (6.3.3 habla de co-registro nativo). 6.7.5 enumera 3 productos y 6.13 suma Prenuvo, sin referencia (6.2 promete solo fuentes verificables).</t>
        </is>
      </c>
      <c r="F33" s="16" t="inlineStr">
        <is>
          <t>Alinear los textos.</t>
        </is>
      </c>
      <c r="G33" s="14" t="inlineStr">
        <is>
          <t>Lectura del documento</t>
        </is>
      </c>
      <c r="H33" s="14" t="inlineStr">
        <is>
          <t>Corregido</t>
        </is>
      </c>
      <c r="I33" s="16" t="inlineStr">
        <is>
          <t>Textos alineados (6.10, FODA, Prenuvo).</t>
        </is>
      </c>
    </row>
    <row r="34" ht="43.25" customHeight="1" s="12">
      <c r="A34" s="14" t="n">
        <v>33</v>
      </c>
      <c r="B34" s="17" t="inlineStr">
        <is>
          <t>Media</t>
        </is>
      </c>
      <c r="C34" s="14" t="inlineStr">
        <is>
          <t>Coherencia</t>
        </is>
      </c>
      <c r="D34" s="16" t="inlineStr">
        <is>
          <t>7.2.3 (p.39), 7.3.2 (p.40), 10.6.2 (p.90), 10.4.2 (p.85), 10.3 (p.80), 11.3–11.4</t>
        </is>
      </c>
      <c r="E34" s="16" t="inlineStr">
        <is>
          <t>Terminología inconsistente: 'Sudirman', 'Al-Kafri', 'Sudirman y Al-Kafri' y 'alkafri' (7.2.3 dice 'Sudirman et al.' y el [3] es Al-Kafri et al.). AAP como 'área entre elementos…' y como 'región anteroposterior'. 'Vértebras' y 'cuerpos vertebrales'; 'saco tecal' y 'saco dural'. Estados de revisión: 'aceptado/observado/corregido/descartado' en 9.7, 'rechazado' en 10.4.2 y sin 'corregido' en 10.3.</t>
        </is>
      </c>
      <c r="F34" s="16" t="inlineStr">
        <is>
          <t>Glosario terminológico único.</t>
        </is>
      </c>
      <c r="G34" s="14" t="inlineStr">
        <is>
          <t>Lectura del documento</t>
        </is>
      </c>
      <c r="H34" s="14" t="inlineStr">
        <is>
          <t>Corregido</t>
        </is>
      </c>
      <c r="I34" s="16" t="inlineStr">
        <is>
          <t>Al-Kafri, AAP, estados de revisión y saco tecal unificados; glosario ampliado.</t>
        </is>
      </c>
    </row>
    <row r="35" ht="32.8" customHeight="1" s="12">
      <c r="A35" s="14" t="n">
        <v>34</v>
      </c>
      <c r="B35" s="17" t="inlineStr">
        <is>
          <t>Media</t>
        </is>
      </c>
      <c r="C35" s="14" t="inlineStr">
        <is>
          <t>Coherencia</t>
        </is>
      </c>
      <c r="D35" s="16" t="inlineStr">
        <is>
          <t>6.1, 6.3.2–6.3.3 (pp.22–25), 7.14 (p.50), 10.5.2 (p.89), 10.7.1 (p.94), 12.6 (p.124), Anexo F (p.195)</t>
        </is>
      </c>
      <c r="E35" s="16" t="inlineStr">
        <is>
          <t>Lenguaje de proceso y notas internas en un documento final: 'a diferencia de lo previsto en la propuesta inicial', 'entrega del 25 %', 'no corresponde describir V2 como pausado', 'congelados para el traspaso', 'revisión editorial antes de continuar con nuevos capítulos'.</t>
        </is>
      </c>
      <c r="F35" s="16" t="inlineStr">
        <is>
          <t>Reescribir en presente descriptivo y mover la historia al Anexo F o A.</t>
        </is>
      </c>
      <c r="G35" s="14" t="inlineStr">
        <is>
          <t>Lectura del documento</t>
        </is>
      </c>
      <c r="H35" s="14" t="inlineStr">
        <is>
          <t>Corregido</t>
        </is>
      </c>
      <c r="I35" s="16" t="inlineStr">
        <is>
          <t>Lenguaje de proceso reescrito.</t>
        </is>
      </c>
    </row>
    <row r="36" ht="43.25" customHeight="1" s="12">
      <c r="A36" s="14" t="n">
        <v>35</v>
      </c>
      <c r="B36" s="17" t="inlineStr">
        <is>
          <t>Media</t>
        </is>
      </c>
      <c r="C36" s="14" t="inlineStr">
        <is>
          <t>Coherencia</t>
        </is>
      </c>
      <c r="D36" s="16" t="inlineStr">
        <is>
          <t>11.5 (p.108), 13.6 (p.127), 6.4.4 (p.26), 13.11.2 (p.133)</t>
        </is>
      </c>
      <c r="E36" s="16" t="inlineStr">
        <is>
          <t>Rangos de contraste sin cita (disco 8–12 mm, lordosis 40–60°, canal). Se compara la suma L1–L5 (36°) con la lordosis habitual (que se mide L1–S1). 6.4.4 afirma que 'la literatura clínica considera más informativas' las áreas sin citar (solo 7.8.2 cita [29]). Contradice la advertencia de la Dra. Cejas de verificar bibliográficamente.</t>
        </is>
      </c>
      <c r="F36" s="16" t="inlineStr">
        <is>
          <t>Citar los rangos o quitarlos, y corregir la comparación.</t>
        </is>
      </c>
      <c r="G36" s="14" t="inlineStr">
        <is>
          <t>Lectura del documento</t>
        </is>
      </c>
      <c r="H36" s="14" t="inlineStr">
        <is>
          <t>Parcial</t>
        </is>
      </c>
      <c r="I36" s="16" t="inlineStr">
        <is>
          <t>Afirmaciones sin cita retiradas o ancladas en [29]; faltan citas de altura discal y lordosis.</t>
        </is>
      </c>
    </row>
    <row r="37" ht="22.35" customHeight="1" s="12">
      <c r="A37" s="14" t="n">
        <v>36</v>
      </c>
      <c r="B37" s="17" t="inlineStr">
        <is>
          <t>Media</t>
        </is>
      </c>
      <c r="C37" s="14" t="inlineStr">
        <is>
          <t>Coherencia</t>
        </is>
      </c>
      <c r="D37" s="16" t="inlineStr">
        <is>
          <t>6.4.1 (p.25), 7.7.4 (p.44), Tabla 6.4 (p.32), 13.3 (p.126)</t>
        </is>
      </c>
      <c r="E37" s="16" t="inlineStr">
        <is>
          <t>nnU-Net y SPINEPS se presentan como baseline/comparador, pero nunca se comparan. Tampoco se contrasta el 0,893 con valores publicados del benchmark SPIDER.</t>
        </is>
      </c>
      <c r="F37" s="16" t="inlineStr">
        <is>
          <t>Agregar la comparación o reformular el rol.</t>
        </is>
      </c>
      <c r="G37" s="14" t="inlineStr">
        <is>
          <t>Lectura del documento</t>
        </is>
      </c>
      <c r="H37" s="14" t="inlineStr">
        <is>
          <t>Corregido</t>
        </is>
      </c>
      <c r="I37" s="16" t="inlineStr">
        <is>
          <t>Rol reformulado como referencia; comparación como trabajo futuro.</t>
        </is>
      </c>
    </row>
    <row r="38" ht="22.35" customHeight="1" s="12">
      <c r="A38" s="14" t="n">
        <v>37</v>
      </c>
      <c r="B38" s="17" t="inlineStr">
        <is>
          <t>Media</t>
        </is>
      </c>
      <c r="C38" s="14" t="inlineStr">
        <is>
          <t>Sintaxis</t>
        </is>
      </c>
      <c r="D38" s="16" t="inlineStr">
        <is>
          <t>7.9.2–7.9.4 (pp.46–47), 8.11.1 (p.59), 14.6 y 14.8 (pp.143, 145–146)</t>
        </is>
      </c>
      <c r="E38" s="16" t="inlineStr">
        <is>
          <t>Ecuaciones numeradas (8.1)–(8.3) en el cap. 7 y (8.1)–(8.2) otra vez en el cap. 8. Símbolos corruptos ('max´'), exponente perdido en la TIR anual y espacios rotos.</t>
        </is>
      </c>
      <c r="F38" s="16" t="inlineStr">
        <is>
          <t>Rehacer con editor de ecuaciones y numerar por capítulo.</t>
        </is>
      </c>
      <c r="G38" s="14" t="inlineStr">
        <is>
          <t>Lectura del documento</t>
        </is>
      </c>
      <c r="H38" s="14" t="inlineStr">
        <is>
          <t>Corregido</t>
        </is>
      </c>
      <c r="I38" s="16" t="inlineStr">
        <is>
          <t>Ecuaciones (7.1)–(7.3), máx y exponente corregidos.</t>
        </is>
      </c>
    </row>
    <row r="39" ht="43.25" customHeight="1" s="12">
      <c r="A39" s="14" t="n">
        <v>38</v>
      </c>
      <c r="B39" s="17" t="inlineStr">
        <is>
          <t>Media</t>
        </is>
      </c>
      <c r="C39" s="14" t="inlineStr">
        <is>
          <t>Sintaxis</t>
        </is>
      </c>
      <c r="D39" s="16" t="inlineStr">
        <is>
          <t>8.5–8.9 (pp.54–58), 9.3–9.10 (pp.65–77), 10.4–10.7 (pp.81–97), 13.8–13.9 (pp.128–131), 11.12 (p.119), Anexo F (p.195)</t>
        </is>
      </c>
      <c r="E39" s="16" t="inlineStr">
        <is>
          <t>Más de 20 tablas sin número ni título. 8.6 cita una 'Tabla 8.1' inexistente y la Lista de Tablas (p.13) está incompleta. Los títulos van unas veces arriba y otras abajo, y hay 'TABLA 14.1' en mayúsculas. La Tabla 10.7.2 repite columnas. La Tabla 11.5 tiene filas con el texto de estado en la columna 'Capacidad'. El Anexo F remite a 'la tabla siguiente', que no existe.</t>
        </is>
      </c>
      <c r="F39" s="16" t="inlineStr">
        <is>
          <t>Normalizar numeración, posición y estilo de títulos, y regenerar las listas.</t>
        </is>
      </c>
      <c r="G39" s="14" t="inlineStr">
        <is>
          <t>Lectura del documento</t>
        </is>
      </c>
      <c r="H39" s="14" t="inlineStr">
        <is>
          <t>Corregido</t>
        </is>
      </c>
      <c r="I39" s="16" t="inlineStr">
        <is>
          <t>Todas las tablas con título arriba, numeración regenerada y listas reconstruidas.</t>
        </is>
      </c>
    </row>
    <row r="40" ht="43.25" customHeight="1" s="12">
      <c r="A40" s="14" t="n">
        <v>39</v>
      </c>
      <c r="B40" s="17" t="inlineStr">
        <is>
          <t>Media</t>
        </is>
      </c>
      <c r="C40" s="14" t="inlineStr">
        <is>
          <t>Sintaxis</t>
        </is>
      </c>
      <c r="D40" s="16" t="inlineStr">
        <is>
          <t>Índice (pp.3–10), 5.6 (p.21), 13.11.3 (p.135), 14.15 (p.150)</t>
        </is>
      </c>
      <c r="E40" s="16" t="inlineStr">
        <is>
          <t>Índice desactualizado. Falta el 10.2. Los títulos 6.12, 10.9, 14.4 y 14.9 difieren del cuerpo. En H.3/H.4 el índice dice 'Funciones mostradas…' y el cuerpo 'Recorrido demostrado…'. El Anexo C lista subtítulos inexistentes. Párrafos largos con estilo de título aparecen como entradas. La frase meta 'máximo de cuatro admitido por la cátedra' (p.3) sobra.</t>
        </is>
      </c>
      <c r="F40" s="16" t="inlineStr">
        <is>
          <t>Corregir estilos y actualizar el campo del índice.</t>
        </is>
      </c>
      <c r="G40" s="14" t="inlineStr">
        <is>
          <t>Lectura del documento</t>
        </is>
      </c>
      <c r="H40" s="14" t="inlineStr">
        <is>
          <t>Corregido</t>
        </is>
      </c>
      <c r="I40" s="16" t="inlineStr">
        <is>
          <t>Estilos corregidos; el índice se actualiza al abrir en Word.</t>
        </is>
      </c>
    </row>
    <row r="41" ht="32.8" customHeight="1" s="12">
      <c r="A41" s="14" t="n">
        <v>40</v>
      </c>
      <c r="B41" s="17" t="inlineStr">
        <is>
          <t>Media</t>
        </is>
      </c>
      <c r="C41" s="14" t="inlineStr">
        <is>
          <t>Sintaxis</t>
        </is>
      </c>
      <c r="D41" s="16" t="inlineStr">
        <is>
          <t>RNF-09 (p.75), 11.12 (p.119), 14.1 (p.138), 1 (p.15), 11.4 (p.106), 7.10 (p.47), 8.5 (p.54)</t>
        </is>
      </c>
      <c r="E41" s="16" t="inlineStr">
        <is>
          <t>Errores de redacción: 'no se dependen de paths internos', '..' al cierre de celda, falta de puntuación ('PFI_RM_LUMBAR_FINAL un libro…') y 'capítulo/Capítulo 13' inconsistente. Condicional ('la interfaz debería permitir') para funciones ya implementadas. Celdas que empiezan en minúscula (8.5).</t>
        </is>
      </c>
      <c r="F41" s="16" t="inlineStr">
        <is>
          <t>Corrección de estilo integral.</t>
        </is>
      </c>
      <c r="G41" s="14" t="inlineStr">
        <is>
          <t>Lectura del documento</t>
        </is>
      </c>
      <c r="H41" s="14" t="inlineStr">
        <is>
          <t>Corregido</t>
        </is>
      </c>
      <c r="I41" s="16" t="inlineStr">
        <is>
          <t>Errores de redacción corregidos.</t>
        </is>
      </c>
    </row>
    <row r="42" ht="32.8" customHeight="1" s="12">
      <c r="A42" s="14" t="n">
        <v>41</v>
      </c>
      <c r="B42" s="17" t="inlineStr">
        <is>
          <t>Media</t>
        </is>
      </c>
      <c r="C42" s="14" t="inlineStr">
        <is>
          <t>Sintaxis</t>
        </is>
      </c>
      <c r="D42" s="16" t="inlineStr">
        <is>
          <t>Caps. 9–13 (en general)</t>
        </is>
      </c>
      <c r="E42" s="16" t="inlineStr">
        <is>
          <t>Anglicismos y jerga interna sin definir: 'artifact' (≈76 veces), E2E (≈62), worklist, stack, hardening, fixtures, serving, overlay, full-series; códigos P10.9, FE-P8, 67B2/67C. Los estados en inglés (PARTIAL/IMPLEMENTED) de las Tablas 13.5/H.1 chocan con el español del cap. 9.</t>
        </is>
      </c>
      <c r="F42" s="16" t="inlineStr">
        <is>
          <t>Usar 'artefacto', ampliar el glosario y mover la nomenclatura interna a un anexo.</t>
        </is>
      </c>
      <c r="G42" s="14" t="inlineStr">
        <is>
          <t>Lectura del documento</t>
        </is>
      </c>
      <c r="H42" s="14" t="inlineStr">
        <is>
          <t>Parcial</t>
        </is>
      </c>
      <c r="I42" s="16" t="inlineStr">
        <is>
          <t>artifact→artefacto, nomenclatura interna en Anexo F; quedan algunos anglicismos definidos en glosario.</t>
        </is>
      </c>
    </row>
    <row r="43" ht="32.8" customHeight="1" s="12">
      <c r="A43" s="14" t="n">
        <v>42</v>
      </c>
      <c r="B43" s="17" t="inlineStr">
        <is>
          <t>Media</t>
        </is>
      </c>
      <c r="C43" s="14" t="inlineStr">
        <is>
          <t>Sintaxis</t>
        </is>
      </c>
      <c r="D43" s="16" t="inlineStr">
        <is>
          <t>Anexos A–H (pp.155–210)</t>
        </is>
      </c>
      <c r="E43" s="16" t="inlineStr">
        <is>
          <t>Rótulos inconsistentes ('Anexo A.' a F vs. 'Anexo G —' y 'H —'). Subsecciones sin numerar en C y F. Glosario no alfabético ('Archivo .ima' y '510(k)' al final, el primero todo en negrita). El Anexo C se titula 'Anatomía…' pero incluye origen y alcance del módulo axial. Viñeta huérfana al inicio del Anexo H (p.203).</t>
        </is>
      </c>
      <c r="F43" s="16" t="inlineStr">
        <is>
          <t>Homogeneizar rótulos y estructura.</t>
        </is>
      </c>
      <c r="G43" s="14" t="inlineStr">
        <is>
          <t>Lectura del documento</t>
        </is>
      </c>
      <c r="H43" s="14" t="inlineStr">
        <is>
          <t>Corregido</t>
        </is>
      </c>
      <c r="I43" s="16" t="inlineStr">
        <is>
          <t>Rótulos homogéneos, C y F numerados, glosario alfabético, viñeta huérfana eliminada.</t>
        </is>
      </c>
    </row>
    <row r="44" ht="15" customHeight="1" s="12">
      <c r="A44" s="14" t="n">
        <v>43</v>
      </c>
      <c r="B44" s="17" t="inlineStr">
        <is>
          <t>Media</t>
        </is>
      </c>
      <c r="C44" s="14" t="inlineStr">
        <is>
          <t>Mejora</t>
        </is>
      </c>
      <c r="D44" s="16" t="inlineStr">
        <is>
          <t>12.1 (p.120), 10.6.1 (p.89)</t>
        </is>
      </c>
      <c r="E44" s="16" t="inlineStr">
        <is>
          <t>Se habla de 'un integrante / el otro' sin nombres. Autoría y aportes individuales no son explícitos.</t>
        </is>
      </c>
      <c r="F44" s="16" t="inlineStr">
        <is>
          <t>Tabla de roles y aportes por autor.</t>
        </is>
      </c>
      <c r="G44" s="14" t="inlineStr">
        <is>
          <t>Lectura del documento</t>
        </is>
      </c>
      <c r="H44" s="14" t="inlineStr">
        <is>
          <t>Parcial</t>
        </is>
      </c>
      <c r="I44" s="16" t="inlineStr">
        <is>
          <t>Tabla de roles creada; falta completar quién hizo qué.</t>
        </is>
      </c>
    </row>
    <row r="45" ht="32.8" customHeight="1" s="12">
      <c r="A45" s="14" t="n">
        <v>44</v>
      </c>
      <c r="B45" s="17" t="inlineStr">
        <is>
          <t>Media</t>
        </is>
      </c>
      <c r="C45" s="14" t="inlineStr">
        <is>
          <t>Mejora</t>
        </is>
      </c>
      <c r="D45" s="16" t="inlineStr">
        <is>
          <t>10.7.1–10.7.2 (pp.94–96), 13.9 (p.130)</t>
        </is>
      </c>
      <c r="E45" s="16" t="inlineStr">
        <is>
          <t>Se publican nombres de proyectos GCP, número de proyecto (1076511912623), revisiones, commits y usuario personal de GitHub. Los repositorios no figuran en Referencias y pueden ser privados. El detalle de facturación (presupuesto de USD 50, red IPv4) es excesivo.</t>
        </is>
      </c>
      <c r="F45" s="16" t="inlineStr">
        <is>
          <t>Retirar identificadores y agregar un anexo 'Disponibilidad de código y datos' (tags/hashes, licencia, instrucciones de reproducción).</t>
        </is>
      </c>
      <c r="G45" s="14" t="inlineStr">
        <is>
          <t>Lectura del documento</t>
        </is>
      </c>
      <c r="H45" s="14" t="inlineStr">
        <is>
          <t>Parcial</t>
        </is>
      </c>
      <c r="I45" s="16" t="inlineStr">
        <is>
          <t>Identificadores y facturación retirados; Anexo J de disponibilidad con datos a completar.</t>
        </is>
      </c>
    </row>
    <row r="46" ht="32.8" customHeight="1" s="12">
      <c r="A46" s="14" t="n">
        <v>45</v>
      </c>
      <c r="B46" s="17" t="inlineStr">
        <is>
          <t>Media</t>
        </is>
      </c>
      <c r="C46" s="14" t="inlineStr">
        <is>
          <t>Mejora</t>
        </is>
      </c>
      <c r="D46" s="16" t="inlineStr">
        <is>
          <t>Agradecimientos (p.2), 8.3 (p.53), Anexo D (p.169)</t>
        </is>
      </c>
      <c r="E46" s="16" t="inlineStr">
        <is>
          <t>Se publican nombres, matrículas y transcripciones completas sin constancia de consentimiento. Se agradece a 2 de los 5 entrevistados y no a la Dra. Cejas (VP-02). Las fichas son heterogéneas y D.4 no repite la salvedad de 8.4 sobre la transcripción sin separación de hablantes.</t>
        </is>
      </c>
      <c r="F46" s="16" t="inlineStr">
        <is>
          <t>Anexar consentimiento, homogeneizar fichas y completar agradecimientos.</t>
        </is>
      </c>
      <c r="G46" s="14" t="inlineStr">
        <is>
          <t>Lectura del documento</t>
        </is>
      </c>
      <c r="H46" s="14" t="inlineStr">
        <is>
          <t>Parcial</t>
        </is>
      </c>
      <c r="I46" s="16" t="inlineStr">
        <is>
          <t>Agradecimientos completos y salvedad en D.4/D.5; faltan constancias de consentimiento.</t>
        </is>
      </c>
    </row>
    <row r="47" ht="22.35" customHeight="1" s="12">
      <c r="A47" s="14" t="n">
        <v>46</v>
      </c>
      <c r="B47" s="17" t="inlineStr">
        <is>
          <t>Media</t>
        </is>
      </c>
      <c r="C47" s="14" t="inlineStr">
        <is>
          <t>Mejora</t>
        </is>
      </c>
      <c r="D47" s="16" t="inlineStr">
        <is>
          <t>Cap. 13 (pp.125–137)</t>
        </is>
      </c>
      <c r="E47" s="16" t="inlineStr">
        <is>
          <t>No hay figuras de resultados: ejemplos de segmentación contra referencia, casos de error, ni dispersión de Dice por paciente o clase. Una sola corrida, sin intervalos.</t>
        </is>
      </c>
      <c r="F47" s="16" t="inlineStr">
        <is>
          <t>Agregar figuras cualitativas, Dice por clase/paciente con IC (bootstrap) y análisis de error por nivel.</t>
        </is>
      </c>
      <c r="G47" s="14" t="inlineStr">
        <is>
          <t>Lectura del documento</t>
        </is>
      </c>
      <c r="H47" s="14" t="inlineStr">
        <is>
          <t>Pendiente</t>
        </is>
      </c>
      <c r="I47" s="16" t="inlineStr">
        <is>
          <t>Placeholder en 13.3; requiere generar figuras e IC.</t>
        </is>
      </c>
    </row>
    <row r="48" ht="22.35" customHeight="1" s="12">
      <c r="A48" s="14" t="n">
        <v>47</v>
      </c>
      <c r="B48" s="17" t="inlineStr">
        <is>
          <t>Media</t>
        </is>
      </c>
      <c r="C48" s="14" t="inlineStr">
        <is>
          <t>Mejora</t>
        </is>
      </c>
      <c r="D48" s="16" t="inlineStr">
        <is>
          <t>RNF-02 y RNF-10 (pp.74–75)</t>
        </is>
      </c>
      <c r="E48" s="16" t="inlineStr">
        <is>
          <t>Requerimientos no funcionales sin umbrales medibles.</t>
        </is>
      </c>
      <c r="F48" s="16" t="inlineStr">
        <is>
          <t>Definir metas (tiempo por estudio, tamaño máximo, disponibilidad) y verificarlas; 13.9 ya mide una mediana ≈19 s.</t>
        </is>
      </c>
      <c r="G48" s="14" t="inlineStr">
        <is>
          <t>Lectura del documento</t>
        </is>
      </c>
      <c r="H48" s="14" t="inlineStr">
        <is>
          <t>Corregido</t>
        </is>
      </c>
      <c r="I48" s="16" t="inlineStr">
        <is>
          <t>RNF-02 y RNF-10 con umbrales medibles.</t>
        </is>
      </c>
    </row>
    <row r="49" ht="32.8" customHeight="1" s="12">
      <c r="A49" s="14" t="n">
        <v>48</v>
      </c>
      <c r="B49" s="18" t="inlineStr">
        <is>
          <t>Baja</t>
        </is>
      </c>
      <c r="C49" s="14" t="inlineStr">
        <is>
          <t>Coherencia</t>
        </is>
      </c>
      <c r="D49" s="16" t="inlineStr">
        <is>
          <t>14.5, 14.11, 14.12 (pp.142, 148)</t>
        </is>
      </c>
      <c r="E49" s="16" t="inlineStr">
        <is>
          <t>El barrido declarado (+10/12,5/15 %) no coincide con el aumento final (+15,6 a +16,7 % en cuotas). 'Varios órdenes de magnitud' (14.11) es en realidad ≈×390. TIR optimista de 541 % sin comentario. '1500' vs. '1.500'.</t>
        </is>
      </c>
      <c r="F49" s="16" t="inlineStr">
        <is>
          <t>Ajustar el texto y comentar los valores extremos.</t>
        </is>
      </c>
      <c r="G49" s="14" t="inlineStr">
        <is>
          <t>Lectura del documento</t>
        </is>
      </c>
      <c r="H49" s="14" t="inlineStr">
        <is>
          <t>Corregido</t>
        </is>
      </c>
      <c r="I49" s="16" t="inlineStr">
        <is>
          <t>Barrido, ×390, TIR 541 % comentada y 1.500.</t>
        </is>
      </c>
    </row>
    <row r="50" ht="15" customHeight="1" s="12">
      <c r="A50" s="14" t="n">
        <v>49</v>
      </c>
      <c r="B50" s="18" t="inlineStr">
        <is>
          <t>Baja</t>
        </is>
      </c>
      <c r="C50" s="14" t="inlineStr">
        <is>
          <t>Mejora</t>
        </is>
      </c>
      <c r="D50" s="16" t="inlineStr">
        <is>
          <t>15.4 (p.154)</t>
        </is>
      </c>
      <c r="E50" s="16" t="inlineStr">
        <is>
          <t>Riesgos listados sin probabilidad, impacto ni mitigación.</t>
        </is>
      </c>
      <c r="F50" s="16" t="inlineStr">
        <is>
          <t>Matriz de riesgos.</t>
        </is>
      </c>
      <c r="G50" s="14" t="inlineStr">
        <is>
          <t>Lectura del documento</t>
        </is>
      </c>
      <c r="H50" s="14" t="inlineStr">
        <is>
          <t>Corregido</t>
        </is>
      </c>
      <c r="I50" s="16" t="inlineStr">
        <is>
          <t>Matriz de riesgos en 15.4.</t>
        </is>
      </c>
    </row>
    <row r="51" ht="43.25" customHeight="1" s="12">
      <c r="A51" s="14" t="n">
        <v>50</v>
      </c>
      <c r="B51" s="18" t="inlineStr">
        <is>
          <t>Baja</t>
        </is>
      </c>
      <c r="C51" s="14" t="inlineStr">
        <is>
          <t>Mejora</t>
        </is>
      </c>
      <c r="D51" s="16" t="inlineStr">
        <is>
          <t>Anexo B (pp.160–164), Referencias (p.211)</t>
        </is>
      </c>
      <c r="E51" s="16" t="inlineStr">
        <is>
          <t>Glosario sin términos usados (ADR, WIF/OIDC, Cloud Run, JWT, ROC-AUC, F1, Pfirrmann, Modic, MRR/ARR, VAN/TIR, churn, Demo Mode). Definiciones con afirmaciones sin cita ('plano axial óptimo', 'protrusión más recurrente'). Faltan fuentes para PyTorch, SimpleITK, FastAPI, Spring Boot, tarifas de GCP (14.7.1), Slicer/OHIF (6.8). Conviene verificar los DOIs de 2025–2026 ([2], [5], [9]).</t>
        </is>
      </c>
      <c r="F51" s="16" t="inlineStr">
        <is>
          <t>Ampliar glosario y bibliografía.</t>
        </is>
      </c>
      <c r="G51" s="14" t="inlineStr">
        <is>
          <t>Lectura del documento</t>
        </is>
      </c>
      <c r="H51" s="14" t="inlineStr">
        <is>
          <t>Corregido</t>
        </is>
      </c>
      <c r="I51" s="16" t="inlineStr">
        <is>
          <t>Glosario ampliado y 12 referencias nuevas.</t>
        </is>
      </c>
    </row>
    <row r="52" ht="22.35" customHeight="1" s="12">
      <c r="A52" s="14" t="n">
        <v>51</v>
      </c>
      <c r="B52" s="18" t="inlineStr">
        <is>
          <t>Baja</t>
        </is>
      </c>
      <c r="C52" s="14" t="inlineStr">
        <is>
          <t>Mejora</t>
        </is>
      </c>
      <c r="D52" s="16" t="inlineStr">
        <is>
          <t>14.2.1 (pp.139–141)</t>
        </is>
      </c>
      <c r="E52" s="16" t="inlineStr">
        <is>
          <t>El branding (paleta, favicon, variantes) es extenso para una tesis de ingeniería, y el nombre MIRA·L no aparece antes del cap. 14.</t>
        </is>
      </c>
      <c r="F52" s="16" t="inlineStr">
        <is>
          <t>Mover a anexo o presentar el nombre en los cap. 1 y 5.</t>
        </is>
      </c>
      <c r="G52" s="14" t="inlineStr">
        <is>
          <t>Lectura del documento</t>
        </is>
      </c>
      <c r="H52" s="14" t="inlineStr">
        <is>
          <t>Corregido</t>
        </is>
      </c>
      <c r="I52" s="16" t="inlineStr">
        <is>
          <t>Branding movido al Anexo I y MIRA·L presentado en el cap. 1.</t>
        </is>
      </c>
    </row>
    <row r="53" ht="22.35" customHeight="1" s="12">
      <c r="A53" s="14" t="n">
        <v>52</v>
      </c>
      <c r="B53" s="18" t="inlineStr">
        <is>
          <t>Baja</t>
        </is>
      </c>
      <c r="C53" s="14" t="inlineStr">
        <is>
          <t>Sintaxis</t>
        </is>
      </c>
      <c r="D53" s="16" t="inlineStr">
        <is>
          <t>6.10 (p.31), Tablas 6.3–6.4 (p.32)</t>
        </is>
      </c>
      <c r="E53" s="16" t="inlineStr">
        <is>
          <t>La lista 'simultáneamente' repite el axial en dos ítems. Aparece 'canales' en singular. 'Propuesta técnica (revisada por pares)' para Perumal es vago.</t>
        </is>
      </c>
      <c r="F53" s="16" t="inlineStr">
        <is>
          <t>Pulido editorial.</t>
        </is>
      </c>
      <c r="G53" s="14" t="inlineStr">
        <is>
          <t>Lectura del documento</t>
        </is>
      </c>
      <c r="H53" s="14" t="inlineStr">
        <is>
          <t>Corregido</t>
        </is>
      </c>
      <c r="I53" s="16" t="inlineStr">
        <is>
          <t>Pulido aplicado.</t>
        </is>
      </c>
    </row>
    <row r="54" ht="32.8" customHeight="1" s="12">
      <c r="A54" s="14" t="n">
        <v>53</v>
      </c>
      <c r="B54" s="15" t="inlineStr">
        <is>
          <t>Alta</t>
        </is>
      </c>
      <c r="C54" s="14" t="inlineStr">
        <is>
          <t>Coherencia</t>
        </is>
      </c>
      <c r="D54" s="16" t="inlineStr">
        <is>
          <t>10.9.4 (p.101) vs. D.2 (p.173) y D.3 (p.176)</t>
        </is>
      </c>
      <c r="E54" s="16" t="inlineStr">
        <is>
          <t>La tesis afirma que 'las entrevistas señalaron' que un valor de confianza sin validación clínica induce a error. En las transcripciones, EN-02 dice que un indicador de confianza 'podría servir' y EN-03 responde 'eso estaría bueno'. Solo EN-01 advierte sobre sesgo ante un grado asignado por la IA.</t>
        </is>
      </c>
      <c r="F54" s="16" t="inlineStr">
        <is>
          <t>Corregir la atribución o presentar la decisión como criterio propio con su fundamento.</t>
        </is>
      </c>
      <c r="G54" s="14" t="inlineStr">
        <is>
          <t>Contraste Anexo D</t>
        </is>
      </c>
      <c r="H54" s="14" t="inlineStr">
        <is>
          <t>Corregido</t>
        </is>
      </c>
      <c r="I54" s="16" t="inlineStr">
        <is>
          <t>Atribución corregida (Hallazgo 13 y 10.9.4).</t>
        </is>
      </c>
    </row>
    <row r="55" ht="22.35" customHeight="1" s="12">
      <c r="A55" s="14" t="n">
        <v>54</v>
      </c>
      <c r="B55" s="15" t="inlineStr">
        <is>
          <t>Alta</t>
        </is>
      </c>
      <c r="C55" s="14" t="inlineStr">
        <is>
          <t>Coherencia</t>
        </is>
      </c>
      <c r="D55" s="16" t="inlineStr">
        <is>
          <t>7.10.2 (p.47)</t>
        </is>
      </c>
      <c r="E55" s="16" t="inlineStr">
        <is>
          <t>La cita «si se ve bonito no es lo que realmente importa» se atribuye al 'relevamiento preliminar', pero no aparece en ninguna de las cinco transcripciones del Anexo D (búsqueda textual).</t>
        </is>
      </c>
      <c r="F55" s="16" t="inlineStr">
        <is>
          <t>Identificar la fuente (entrevista, fecha) o retirarla.</t>
        </is>
      </c>
      <c r="G55" s="14" t="inlineStr">
        <is>
          <t>Contraste Anexo D</t>
        </is>
      </c>
      <c r="H55" s="14" t="inlineStr">
        <is>
          <t>Corregido</t>
        </is>
      </c>
      <c r="I55" s="16" t="inlineStr">
        <is>
          <t>Cita eliminada.</t>
        </is>
      </c>
    </row>
    <row r="56" ht="43.25" customHeight="1" s="12">
      <c r="A56" s="14" t="n">
        <v>55</v>
      </c>
      <c r="B56" s="15" t="inlineStr">
        <is>
          <t>Alta</t>
        </is>
      </c>
      <c r="C56" s="14" t="inlineStr">
        <is>
          <t>Coherencia</t>
        </is>
      </c>
      <c r="D56" s="16" t="inlineStr">
        <is>
          <t>8.5–8.6 (pp.54–55), 13.12 (p.136), H.8 (p.210) vs. D.5 (p.183)</t>
        </is>
      </c>
      <c r="E56" s="16" t="inlineStr">
        <is>
          <t>EN-05 planteó como 'red flag' no comparar los resultados contra mediciones de especialistas (doble/triple ciego, intra/interobservador), y EN-01 a EN-04 también recomendaron validar con profesionales. El cap. 8 lo recoge de forma parcial (EN-05 aparece solo en el Hallazgo 11, por nivel anatómico) y el cap. 13 admite que no se hizo sin discutirlo como advertencia recibida.</t>
        </is>
      </c>
      <c r="F56" s="16" t="inlineStr">
        <is>
          <t>Incorporar el hallazgo a la Tabla 8.5, discutirlo en las conclusiones y evaluar una comparación acotada (p. ej., 20–50 cortes medidos por un profesional).</t>
        </is>
      </c>
      <c r="G56" s="14" t="inlineStr">
        <is>
          <t>Contraste Anexo D</t>
        </is>
      </c>
      <c r="H56" s="14" t="inlineStr">
        <is>
          <t>Corregido</t>
        </is>
      </c>
      <c r="I56" s="16" t="inlineStr">
        <is>
          <t>Hallazgo 12 en Tabla 8.1 y discusión en 16.2.2 con diseño acotado.</t>
        </is>
      </c>
    </row>
    <row r="57" ht="43.25" customHeight="1" s="12">
      <c r="A57" s="14" t="n">
        <v>56</v>
      </c>
      <c r="B57" s="15" t="inlineStr">
        <is>
          <t>Alta</t>
        </is>
      </c>
      <c r="C57" s="14" t="inlineStr">
        <is>
          <t>Coherencia</t>
        </is>
      </c>
      <c r="D57" s="16" t="inlineStr">
        <is>
          <t>Cap. 14 (pp.138–150), 11.11.2 (p.117), 6.3.2 (p.24)</t>
        </is>
      </c>
      <c r="E57" s="16" t="inlineStr">
        <is>
          <t>LumbarDISC se distribuye gratis solo para uso no comercial (acuerdo de uso de investigación RSNA MIRA / Kaggle). La tesis entrena con él el clasificador subarticular y a la vez propone un SaaS comercial, sin analizar la licencia. SPIDER figura como CC BY 4.0 (confirmado). La licencia de Sudirman/Al-Kafri (CC BY 4.0 según la tesis) no pude confirmarla.</t>
        </is>
      </c>
      <c r="F57" s="16" t="inlineStr">
        <is>
          <t>Tabla de licencias por dataset y su compatibilidad con uso comercial; excluir o reemplazar los modelos con restricción.</t>
        </is>
      </c>
      <c r="G57" s="14" t="inlineStr">
        <is>
          <t>Verificación externa</t>
        </is>
      </c>
      <c r="H57" s="14" t="inlineStr">
        <is>
          <t>Parcial</t>
        </is>
      </c>
      <c r="I57" s="16" t="inlineStr">
        <is>
          <t>Tabla de licencias (Anexo J); confirmar texto del acuerdo RSNA MIRA.</t>
        </is>
      </c>
    </row>
    <row r="58" ht="32.8" customHeight="1" s="12">
      <c r="A58" s="14" t="n">
        <v>57</v>
      </c>
      <c r="B58" s="17" t="inlineStr">
        <is>
          <t>Media</t>
        </is>
      </c>
      <c r="C58" s="14" t="inlineStr">
        <is>
          <t>Mejora</t>
        </is>
      </c>
      <c r="D58" s="16" t="inlineStr">
        <is>
          <t>6.3.1 (p.23), 6.4.1 (p.25), 13.2–13.3 (pp.125–126)</t>
        </is>
      </c>
      <c r="E58" s="16" t="inlineStr">
        <is>
          <t>SPIDER define una asignación oficial entrenamiento/validación, un conjunto secuestrado para un desafío continuo y valores de referencia (baseline y nnU-Net con rendimiento comparable). La tesis usa una partición propia 152/33/33, así que el 0,893 no es comparable con el benchmark publicado.</t>
        </is>
      </c>
      <c r="F58" s="16" t="inlineStr">
        <is>
          <t>Usar la partición oficial o enviar al desafío, y reportar contra el baseline y nnU-Net.</t>
        </is>
      </c>
      <c r="G58" s="14" t="inlineStr">
        <is>
          <t>Verificación externa</t>
        </is>
      </c>
      <c r="H58" s="14" t="inlineStr">
        <is>
          <t>Parcial</t>
        </is>
      </c>
      <c r="I58" s="16" t="inlineStr">
        <is>
          <t>Declarado en 13.2 y 16; falta evaluar con partición oficial.</t>
        </is>
      </c>
    </row>
    <row r="59" ht="32.8" customHeight="1" s="12">
      <c r="A59" s="14" t="n">
        <v>58</v>
      </c>
      <c r="B59" s="17" t="inlineStr">
        <is>
          <t>Media</t>
        </is>
      </c>
      <c r="C59" s="14" t="inlineStr">
        <is>
          <t>Mejora</t>
        </is>
      </c>
      <c r="D59" s="16" t="inlineStr">
        <is>
          <t>6.4.3 (p.26), Tabla 6.4 (p.32), 11.11.1 (p.116)</t>
        </is>
      </c>
      <c r="E59" s="16" t="inlineStr">
        <is>
          <t>SpineNet [6] ya predice gradaciones equivalentes a los 8 hallazgos (Pfirrmann, estrechamiento, platillos, cambios medulares/Modic, listesis) con rendimiento 'casi humano', y SpineNetV2 [7] es abierto y tiene demo. La tesis lo trata solo como 'contexto', aunque sus F1 (0,125–0,846) son muy dispares.</t>
        </is>
      </c>
      <c r="F59" s="16" t="inlineStr">
        <is>
          <t>Usarlo como baseline directo o justificar la diferencia.</t>
        </is>
      </c>
      <c r="G59" s="14" t="inlineStr">
        <is>
          <t>Verificación externa</t>
        </is>
      </c>
      <c r="H59" s="14" t="inlineStr">
        <is>
          <t>Corregido</t>
        </is>
      </c>
      <c r="I59" s="16" t="inlineStr">
        <is>
          <t>SpineNetV2 como baseline natural (6.4.3, Tabla 6.4, 16).</t>
        </is>
      </c>
    </row>
    <row r="60" ht="32.8" customHeight="1" s="12">
      <c r="A60" s="14" t="n">
        <v>59</v>
      </c>
      <c r="B60" s="17" t="inlineStr">
        <is>
          <t>Media</t>
        </is>
      </c>
      <c r="C60" s="14" t="inlineStr">
        <is>
          <t>Coherencia</t>
        </is>
      </c>
      <c r="D60" s="16" t="inlineStr">
        <is>
          <t>7.8.2 (p.45), 6.4.4 (p.26), [29]</t>
        </is>
      </c>
      <c r="E60" s="16" t="inlineStr">
        <is>
          <t>Steurer et al. [29] no sostiene que el área del saco sea 'más sensible' que el diámetro AP: informa que los criterios más usados son AP &lt; 10 mm y área &lt; 70 mm² (saco dural &lt; 100 mm² en la mayoría) y concluye que falta consenso. Contradice también que el canal esté 'estandarizado en bibliografía' (EN-03).</t>
        </is>
      </c>
      <c r="F60" s="16" t="inlineStr">
        <is>
          <t>Reformular la afirmación o buscar una fuente que la respalde; anclar los umbrales en [29].</t>
        </is>
      </c>
      <c r="G60" s="14" t="inlineStr">
        <is>
          <t>Verificación externa</t>
        </is>
      </c>
      <c r="H60" s="14" t="inlineStr">
        <is>
          <t>Corregido</t>
        </is>
      </c>
      <c r="I60" s="16" t="inlineStr">
        <is>
          <t>Afirmaciones reformuladas según [29].</t>
        </is>
      </c>
    </row>
    <row r="61" ht="22.35" customHeight="1" s="12">
      <c r="A61" s="14" t="n">
        <v>60</v>
      </c>
      <c r="B61" s="17" t="inlineStr">
        <is>
          <t>Media</t>
        </is>
      </c>
      <c r="C61" s="14" t="inlineStr">
        <is>
          <t>Coherencia</t>
        </is>
      </c>
      <c r="D61" s="16" t="inlineStr">
        <is>
          <t>13.6, Tabla 13.3 (pp.127–128)</t>
        </is>
      </c>
      <c r="E61" s="16" t="inlineStr">
        <is>
          <t>El AP de 9,8 mm en L3-L4 queda por debajo del criterio &lt; 10 mm que [29] reporta como el más usado para estenosis central, pero la tabla lo califica de 'consistente' sin comentario.</t>
        </is>
      </c>
      <c r="F61" s="16" t="inlineStr">
        <is>
          <t>Discutirlo (error de segmentación vs. hallazgo real) y contrastar con umbrales citados.</t>
        </is>
      </c>
      <c r="G61" s="14" t="inlineStr">
        <is>
          <t>Verificación externa</t>
        </is>
      </c>
      <c r="H61" s="14" t="inlineStr">
        <is>
          <t>Corregido</t>
        </is>
      </c>
      <c r="I61" s="16" t="inlineStr">
        <is>
          <t>L3-L4 discutido en 13.6.</t>
        </is>
      </c>
    </row>
    <row r="62" ht="53.7" customHeight="1" s="12">
      <c r="A62" s="14" t="n">
        <v>61</v>
      </c>
      <c r="B62" s="17" t="inlineStr">
        <is>
          <t>Media</t>
        </is>
      </c>
      <c r="C62" s="14" t="inlineStr">
        <is>
          <t>Coherencia</t>
        </is>
      </c>
      <c r="D62" s="16" t="inlineStr">
        <is>
          <t>6.7 (pp.28–29), Tabla 6.2</t>
        </is>
      </c>
      <c r="E62" s="16" t="inlineStr">
        <is>
          <t>Panorama comercial incompleto: CoLumbo tiene autorizaciones posteriores (K241211, ago-2024; CoLumboX K250367, may-2025), marcado CE y estudio clínico. Su 510(k) K220497 se validó contra ground truth de 3 radiólogos en 101 estudios de 7 sitios de EE. UU. Aparecen otros competidores no mencionados (p. ej., ScanDiags Ortho L-Spine MR-Q, K242607). MSKai (K240793, dic-2024) se limita a T2.</t>
        </is>
      </c>
      <c r="F62" s="16" t="inlineStr">
        <is>
          <t>Actualizar 6.7/Tabla 6.2 y usar su criterio de validación como vara en el cap. 13.</t>
        </is>
      </c>
      <c r="G62" s="14" t="inlineStr">
        <is>
          <t>Verificación externa</t>
        </is>
      </c>
      <c r="H62" s="14" t="inlineStr">
        <is>
          <t>Corregido</t>
        </is>
      </c>
      <c r="I62" s="16" t="inlineStr">
        <is>
          <t>CoLumbo K241211/K250367 y ScanDiags K242607 agregados (verificados).</t>
        </is>
      </c>
    </row>
    <row r="63" ht="32.8" customHeight="1" s="12">
      <c r="A63" s="14" t="n">
        <v>62</v>
      </c>
      <c r="B63" s="17" t="inlineStr">
        <is>
          <t>Media</t>
        </is>
      </c>
      <c r="C63" s="14" t="inlineStr">
        <is>
          <t>Sintaxis</t>
        </is>
      </c>
      <c r="D63" s="16" t="inlineStr">
        <is>
          <t>6.5 (p.27), Tabla 6.4 (p.32), Referencia [9] (p.211)</t>
        </is>
      </c>
      <c r="E63" s="16" t="inlineStr">
        <is>
          <t>Atribución errónea: el artículo (BMC Med Imaging 2026;26:134, DOI correcto) tiene como primer autor a Akash Nixon; Perumal es el último. Se cita como 'Perumal et al.'. Ese trabajo validó contra dos radiólogos con ICC y MAE ≈ 1 mm, incluso en una cohorte externa (RSNA 2024).</t>
        </is>
      </c>
      <c r="F63" s="16" t="inlineStr">
        <is>
          <t>Citar NIXON et al. y usarlo como referencia de cómo validar mediciones.</t>
        </is>
      </c>
      <c r="G63" s="14" t="inlineStr">
        <is>
          <t>Verificación externa</t>
        </is>
      </c>
      <c r="H63" s="14" t="inlineStr">
        <is>
          <t>Corregido</t>
        </is>
      </c>
      <c r="I63" s="16" t="inlineStr">
        <is>
          <t>Nixon et al. corregido (verificado).</t>
        </is>
      </c>
    </row>
    <row r="64" ht="43.25" customHeight="1" s="12">
      <c r="A64" s="14" t="n">
        <v>63</v>
      </c>
      <c r="B64" s="17" t="inlineStr">
        <is>
          <t>Media</t>
        </is>
      </c>
      <c r="C64" s="14" t="inlineStr">
        <is>
          <t>Coherencia</t>
        </is>
      </c>
      <c r="D64" s="16" t="inlineStr">
        <is>
          <t>6.3.3 (p.24), Tabla 13.1 (p.125)</t>
        </is>
      </c>
      <c r="E64" s="16" t="inlineStr">
        <is>
          <t>La tesis afirma 1.545 máscaras finales (515 pacientes × 3 niveles). La ficha del dataset describe 515 pacientes y 48.345 cortes sin precisar el número de máscaras, y la tesis doctoral de Al-Kafri indica que los experimentos usaron un subconjunto de 101 pacientes. Eso es más coherente con los '81/102 casos evaluables' de la Tabla 13.1 que con 515.</t>
        </is>
      </c>
      <c r="F64" s="16" t="inlineStr">
        <is>
          <t>Verificar cuántas máscaras existen realmente y corregir las cifras.</t>
        </is>
      </c>
      <c r="G64" s="14" t="inlineStr">
        <is>
          <t>Verificación externa (parcial)</t>
        </is>
      </c>
      <c r="H64" s="14" t="inlineStr">
        <is>
          <t>Parcial</t>
        </is>
      </c>
      <c r="I64" s="16" t="inlineStr">
        <is>
          <t>Cifra 1.545 retirada; falta el número real de máscaras.</t>
        </is>
      </c>
    </row>
    <row r="65" ht="32.8" customHeight="1" s="12">
      <c r="A65" s="14" t="n">
        <v>64</v>
      </c>
      <c r="B65" s="17" t="inlineStr">
        <is>
          <t>Media</t>
        </is>
      </c>
      <c r="C65" s="14" t="inlineStr">
        <is>
          <t>Coherencia</t>
        </is>
      </c>
      <c r="D65" s="16" t="inlineStr">
        <is>
          <t>6.6, Tabla 6.6 (pp.28, 36), 6.8 (p.30) vs. D.3 (p.176), D.5 (p.183)</t>
        </is>
      </c>
      <c r="E65" s="16" t="inlineStr">
        <is>
          <t>EN-03 y EN-05 indican que sus PACS ya delimitan niveles y miden o integran IA ('con un botón en el PACS ya se delimitan los niveles'). El análisis de sustitutos (Tabla 6.6) no incluye las herramientas nativas de PACS ni explica el valor diferencial de segmentar vértebras y discos.</t>
        </is>
      </c>
      <c r="F65" s="16" t="inlineStr">
        <is>
          <t>Agregar PACS como sustituto y reforzar la propuesta de valor (áreas, trazabilidad, revisión).</t>
        </is>
      </c>
      <c r="G65" s="14" t="inlineStr">
        <is>
          <t>Contraste Anexo D</t>
        </is>
      </c>
      <c r="H65" s="14" t="inlineStr">
        <is>
          <t>Corregido</t>
        </is>
      </c>
      <c r="I65" s="16" t="inlineStr">
        <is>
          <t>PACS agregado como sustituto (6.6, Porter).</t>
        </is>
      </c>
    </row>
    <row r="66" ht="32.8" customHeight="1" s="12">
      <c r="A66" s="14" t="n">
        <v>65</v>
      </c>
      <c r="B66" s="17" t="inlineStr">
        <is>
          <t>Media</t>
        </is>
      </c>
      <c r="C66" s="14" t="inlineStr">
        <is>
          <t>Coherencia</t>
        </is>
      </c>
      <c r="D66" s="16" t="inlineStr">
        <is>
          <t>8.7 (p.56), 7.11.3 (p.49) vs. D.2 (p.173), D.5 (p.183)</t>
        </is>
      </c>
      <c r="E66" s="16" t="inlineStr">
        <is>
          <t>EN-05 pidió que el sistema redacte una interpretación por nivel con terminología de informe y EN-02 pidió diagnósticos diferenciales. La Tabla 8.7 solo registra el diferimiento del diagnóstico diferencial; no se discute esa demanda frente al preinforme no diagnóstico.</t>
        </is>
      </c>
      <c r="F66" s="16" t="inlineStr">
        <is>
          <t>Documentarla como decisión de alcance explícita.</t>
        </is>
      </c>
      <c r="G66" s="14" t="inlineStr">
        <is>
          <t>Contraste Anexo D</t>
        </is>
      </c>
      <c r="H66" s="14" t="inlineStr">
        <is>
          <t>Corregido</t>
        </is>
      </c>
      <c r="I66" s="16" t="inlineStr">
        <is>
          <t>Fila nueva en Tabla 8.2 como decisión de alcance.</t>
        </is>
      </c>
    </row>
    <row r="67" ht="43.25" customHeight="1" s="12">
      <c r="A67" s="14" t="n">
        <v>66</v>
      </c>
      <c r="B67" s="17" t="inlineStr">
        <is>
          <t>Media</t>
        </is>
      </c>
      <c r="C67" s="14" t="inlineStr">
        <is>
          <t>Coherencia</t>
        </is>
      </c>
      <c r="D67" s="16" t="inlineStr">
        <is>
          <t>8.3–8.4 (p.53), Anexo D (pp.169–187)</t>
        </is>
      </c>
      <c r="E67" s="16" t="inlineStr">
        <is>
          <t>Datos de perfil no verificables en las transcripciones: 'Imágenes MDQ' y las duraciones, y 'Sociedad Argentina de Radiología' para EN-01 (D.1 menciona solo FLENI y Prenuvo). EN-03 es presidenta de la SAR (D.3) y no se destaca. Ninguna entrevista tiene fecha. D.5 incluye una nota de transcripción automática sin cierre y D.4 no repite la salvedad de 8.4, que menciona solo a EN-04.</t>
        </is>
      </c>
      <c r="F67" s="16" t="inlineStr">
        <is>
          <t>Completar las fichas (fecha, medio, duración, fuente) y unificar las salvedades.</t>
        </is>
      </c>
      <c r="G67" s="14" t="inlineStr">
        <is>
          <t>Contraste Anexo D</t>
        </is>
      </c>
      <c r="H67" s="14" t="inlineStr">
        <is>
          <t>Parcial</t>
        </is>
      </c>
      <c r="I67" s="16" t="inlineStr">
        <is>
          <t>Fichas corregidas y SAR destacada; faltan fechas/duración.</t>
        </is>
      </c>
    </row>
    <row r="68" ht="22.35" customHeight="1" s="12">
      <c r="A68" s="14" t="n">
        <v>67</v>
      </c>
      <c r="B68" s="18" t="inlineStr">
        <is>
          <t>Baja</t>
        </is>
      </c>
      <c r="C68" s="14" t="inlineStr">
        <is>
          <t>Mejora</t>
        </is>
      </c>
      <c r="D68" s="16" t="inlineStr">
        <is>
          <t>Referencias (p.211)</t>
        </is>
      </c>
      <c r="E68" s="16" t="inlineStr">
        <is>
          <t>Verificadas por búsqueda: [1], [2], [3], [5], [6], [7], [8], [9], [10], [11], [12], [29]. [7] omite el n.º de artículo (14993). Sin verificar: [4], [13]–[28], [30]–[40]. No encontré referencias inexistentes.</t>
        </is>
      </c>
      <c r="F68" s="16" t="inlineStr">
        <is>
          <t>Completar [7] y verificar las restantes antes de la entrega.</t>
        </is>
      </c>
      <c r="G68" s="14" t="inlineStr">
        <is>
          <t>Verificación externa</t>
        </is>
      </c>
      <c r="H68" s="14" t="inlineStr">
        <is>
          <t>Parcial</t>
        </is>
      </c>
      <c r="I68" s="16" t="inlineStr">
        <is>
          <t>[7] completada; resto de referencias sin verificar.</t>
        </is>
      </c>
    </row>
  </sheetData>
  <autoFilter ref="A1:H68"/>
  <dataValidations count="1">
    <dataValidation sqref="H2:H68" showDropDown="0" showInputMessage="0" showErrorMessage="0" allowBlank="1" type="list" errorStyle="stop" operator="between">
      <formula1>"Pendiente,En corrección,Corregido,No aplica"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1" min="1" max="1"/>
    <col width="10" customWidth="1" style="11" min="2" max="5"/>
  </cols>
  <sheetData>
    <row r="1" ht="15" customHeight="1" s="12">
      <c r="A1" s="19" t="inlineStr">
        <is>
          <t>Resumen de hallazgos — PFI (revisión)</t>
        </is>
      </c>
    </row>
    <row r="2"/>
    <row r="3" ht="15" customHeight="1" s="12">
      <c r="A3" s="20" t="inlineStr">
        <is>
          <t>Tipo</t>
        </is>
      </c>
      <c r="B3" s="20" t="inlineStr">
        <is>
          <t>Alta</t>
        </is>
      </c>
      <c r="C3" s="20" t="inlineStr">
        <is>
          <t>Media</t>
        </is>
      </c>
      <c r="D3" s="20" t="inlineStr">
        <is>
          <t>Baja</t>
        </is>
      </c>
      <c r="E3" s="20" t="inlineStr">
        <is>
          <t>Total</t>
        </is>
      </c>
    </row>
    <row r="4" ht="15" customHeight="1" s="12">
      <c r="A4" s="21" t="inlineStr">
        <is>
          <t>Coherencia</t>
        </is>
      </c>
      <c r="B4" s="21">
        <f>COUNTIFS(Hallazgos!$C$2:$C$68,$A4,Hallazgos!$B$2:$B$68,B$3)</f>
        <v/>
      </c>
      <c r="C4" s="21">
        <f>COUNTIFS(Hallazgos!$C$2:$C$68,$A4,Hallazgos!$B$2:$B$68,C$3)</f>
        <v/>
      </c>
      <c r="D4" s="21">
        <f>COUNTIFS(Hallazgos!$C$2:$C$68,$A4,Hallazgos!$B$2:$B$68,D$3)</f>
        <v/>
      </c>
      <c r="E4" s="21">
        <f>SUM(B4:D4)</f>
        <v/>
      </c>
    </row>
    <row r="5" ht="15" customHeight="1" s="12">
      <c r="A5" s="21" t="inlineStr">
        <is>
          <t>Duplicidad</t>
        </is>
      </c>
      <c r="B5" s="21">
        <f>COUNTIFS(Hallazgos!$C$2:$C$68,$A5,Hallazgos!$B$2:$B$68,B$3)</f>
        <v/>
      </c>
      <c r="C5" s="21">
        <f>COUNTIFS(Hallazgos!$C$2:$C$68,$A5,Hallazgos!$B$2:$B$68,C$3)</f>
        <v/>
      </c>
      <c r="D5" s="21">
        <f>COUNTIFS(Hallazgos!$C$2:$C$68,$A5,Hallazgos!$B$2:$B$68,D$3)</f>
        <v/>
      </c>
      <c r="E5" s="21">
        <f>SUM(B5:D5)</f>
        <v/>
      </c>
    </row>
    <row r="6" ht="15" customHeight="1" s="12">
      <c r="A6" s="21" t="inlineStr">
        <is>
          <t>Sintaxis</t>
        </is>
      </c>
      <c r="B6" s="21">
        <f>COUNTIFS(Hallazgos!$C$2:$C$68,$A6,Hallazgos!$B$2:$B$68,B$3)</f>
        <v/>
      </c>
      <c r="C6" s="21">
        <f>COUNTIFS(Hallazgos!$C$2:$C$68,$A6,Hallazgos!$B$2:$B$68,C$3)</f>
        <v/>
      </c>
      <c r="D6" s="21">
        <f>COUNTIFS(Hallazgos!$C$2:$C$68,$A6,Hallazgos!$B$2:$B$68,D$3)</f>
        <v/>
      </c>
      <c r="E6" s="21">
        <f>SUM(B6:D6)</f>
        <v/>
      </c>
    </row>
    <row r="7" ht="15" customHeight="1" s="12">
      <c r="A7" s="21" t="inlineStr">
        <is>
          <t>Mejora</t>
        </is>
      </c>
      <c r="B7" s="21">
        <f>COUNTIFS(Hallazgos!$C$2:$C$68,$A7,Hallazgos!$B$2:$B$68,B$3)</f>
        <v/>
      </c>
      <c r="C7" s="21">
        <f>COUNTIFS(Hallazgos!$C$2:$C$68,$A7,Hallazgos!$B$2:$B$68,C$3)</f>
        <v/>
      </c>
      <c r="D7" s="21">
        <f>COUNTIFS(Hallazgos!$C$2:$C$68,$A7,Hallazgos!$B$2:$B$68,D$3)</f>
        <v/>
      </c>
      <c r="E7" s="21">
        <f>SUM(B7:D7)</f>
        <v/>
      </c>
    </row>
    <row r="8" ht="15" customHeight="1" s="12">
      <c r="A8" s="22" t="inlineStr">
        <is>
          <t>Total</t>
        </is>
      </c>
      <c r="B8" s="22">
        <f>SUM(B4:B7)</f>
        <v/>
      </c>
      <c r="C8" s="22">
        <f>SUM(C4:C7)</f>
        <v/>
      </c>
      <c r="D8" s="22">
        <f>SUM(D4:D7)</f>
        <v/>
      </c>
      <c r="E8" s="22">
        <f>SUM(E4:E7)</f>
        <v/>
      </c>
    </row>
    <row r="9" ht="15" customHeight="1" s="12">
      <c r="A9" s="21" t="n"/>
      <c r="B9" s="21" t="n"/>
      <c r="C9" s="21" t="n"/>
      <c r="D9" s="21" t="n"/>
      <c r="E9" s="21" t="n"/>
    </row>
    <row r="10" ht="15" customHeight="1" s="12">
      <c r="A10" s="21" t="inlineStr">
        <is>
          <t>Corregidos</t>
        </is>
      </c>
      <c r="B10" s="21">
        <f>COUNTIF(Hallazgos!$H$2:$H$68,"Corregido")</f>
        <v/>
      </c>
      <c r="C10" s="21" t="n"/>
      <c r="D10" s="21" t="n"/>
      <c r="E10" s="21" t="n"/>
    </row>
    <row r="11" ht="15" customHeight="1" s="12">
      <c r="A11" s="21" t="inlineStr">
        <is>
          <t>Pendientes</t>
        </is>
      </c>
      <c r="B11" s="21">
        <f>COUNTIF(Hallazgos!$H$2:$H$68,"Pendiente")</f>
        <v/>
      </c>
      <c r="C11" s="21" t="n"/>
      <c r="D11" s="21" t="n"/>
      <c r="E11" s="21" t="n"/>
    </row>
    <row r="12">
      <c r="A12" s="21" t="inlineStr">
        <is>
          <t>Parciales (requieren datos del equipo)</t>
        </is>
      </c>
      <c r="B12" s="21">
        <f>COUNTIF(Hallazgos!$H$2:$H$68,"Parcial")</f>
        <v/>
      </c>
    </row>
    <row r="13" ht="15" customHeight="1" s="12"/>
    <row r="14">
      <c r="A14" s="11" t="inlineStr">
        <is>
          <t>Nota: páginas según el índice del propio documento (Word), que está parcialmente desactualizado (±1–2 págs.). Anexo D contrastado con el cap. 8; referencias verificadas por búsqueda web (ver última fila de Referencias). No se inspeccionó el contenido de imágenes.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2026-10-14T18:15:59Z</dcterms:created>
  <dcterms:modified xmlns:dcterms="http://purl.org/dc/terms/" xmlns:xsi="http://www.w3.org/2001/XMLSchema-instance" xsi:type="dcterms:W3CDTF">2026-10-14T19:50:49Z</dcterms:modified>
  <cp:revision>0</cp:revision>
</cp:coreProperties>
</file>