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46ecbbe6d1445c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GUIA" sheetId="1" r:id="Rc0f75f4b47ea46c4"/>
    <x:sheet xmlns:r="http://schemas.openxmlformats.org/officeDocument/2006/relationships" name="01_SUPUESTOS" sheetId="2" r:id="R8ec9a7d188664013"/>
    <x:sheet xmlns:r="http://schemas.openxmlformats.org/officeDocument/2006/relationships" name="02_RESULTADOS" sheetId="3" r:id="R56042931db524156"/>
    <x:sheet xmlns:r="http://schemas.openxmlformats.org/officeDocument/2006/relationships" name="03_PESIMISTA" sheetId="4" r:id="R8a16942f146e4deb"/>
    <x:sheet xmlns:r="http://schemas.openxmlformats.org/officeDocument/2006/relationships" name="04_BASE" sheetId="5" r:id="R4a6f2523abe74df2"/>
    <x:sheet xmlns:r="http://schemas.openxmlformats.org/officeDocument/2006/relationships" name="05_OPTIMISTA" sheetId="6" r:id="R3d58271a81b541c1"/>
    <x:sheet xmlns:r="http://schemas.openxmlformats.org/officeDocument/2006/relationships" name="06_BASE_OBJETIVO" sheetId="7" r:id="R1af74bed43334fc3"/>
    <x:sheet xmlns:r="http://schemas.openxmlformats.org/officeDocument/2006/relationships" name="07_CONTROL" sheetId="8" r:id="R936868c9dfa140aa"/>
    <x:sheet xmlns:r="http://schemas.openxmlformats.org/officeDocument/2006/relationships" name="08_SENSIBILIDAD" sheetId="9" r:id="R09dd8b7535f4411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color rgb="FFFFFFFF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43954"/>
      </x:patternFill>
    </x:fill>
  </x:fills>
  <x:borders count="2">
    <x:border/>
    <x:border/>
  </x:borders>
  <x:cellStyleXfs count="1">
    <x:xf numFmtId="0" fontId="0" fillId="0" borderId="0"/>
  </x:cellStyleXfs>
  <x:cellXfs count="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9ff17b17880429b" /><Relationship Type="http://schemas.openxmlformats.org/officeDocument/2006/relationships/theme" Target="/xl/theme/theme1.xml" Id="Ra145729c5ad2488e" /><Relationship Type="http://schemas.openxmlformats.org/officeDocument/2006/relationships/sharedStrings" Target="/xl/sharedStrings.xml" Id="Ra5a137579f604bb7" /><Relationship Type="http://schemas.openxmlformats.org/officeDocument/2006/relationships/worksheet" Target="/xl/worksheets/sheet1.xml" Id="Rc0f75f4b47ea46c4" /><Relationship Type="http://schemas.openxmlformats.org/officeDocument/2006/relationships/worksheet" Target="/xl/worksheets/sheet2.xml" Id="R8ec9a7d188664013" /><Relationship Type="http://schemas.openxmlformats.org/officeDocument/2006/relationships/worksheet" Target="/xl/worksheets/sheet3.xml" Id="R56042931db524156" /><Relationship Type="http://schemas.openxmlformats.org/officeDocument/2006/relationships/worksheet" Target="/xl/worksheets/sheet4.xml" Id="R8a16942f146e4deb" /><Relationship Type="http://schemas.openxmlformats.org/officeDocument/2006/relationships/worksheet" Target="/xl/worksheets/sheet5.xml" Id="R4a6f2523abe74df2" /><Relationship Type="http://schemas.openxmlformats.org/officeDocument/2006/relationships/worksheet" Target="/xl/worksheets/sheet6.xml" Id="R3d58271a81b541c1" /><Relationship Type="http://schemas.openxmlformats.org/officeDocument/2006/relationships/worksheet" Target="/xl/worksheets/sheet7.xml" Id="R1af74bed43334fc3" /><Relationship Type="http://schemas.openxmlformats.org/officeDocument/2006/relationships/worksheet" Target="/xl/worksheets/sheet8.xml" Id="R936868c9dfa140aa" /><Relationship Type="http://schemas.openxmlformats.org/officeDocument/2006/relationships/worksheet" Target="/xl/worksheets/sheet9.xml" Id="R09dd8b7535f4411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3" hidden="0" customWidth="1"/>
    <x:col min="2" max="2" width="75" hidden="0" customWidth="1"/>
  </x:cols>
  <x:sheetData>
    <x:row r="1">
      <x:c r="A1" s="6" t="str">
        <x:v>MIRA·L — Modelo financiero auditado 36 meses</x:v>
      </x:c>
      <x:c r="B1" s="6" t="str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  <x:c r="O1" s="6"/>
      <x:c r="P1" s="6"/>
      <x:c r="Q1" s="6"/>
      <x:c r="R1" s="6"/>
      <x:c r="S1" s="6"/>
      <x:c r="T1" s="6"/>
      <x:c r="U1" s="6"/>
    </x:row>
    <x:row r="2">
      <x:c r="A2" t="str">
        <x:v>Fuente técnica</x:v>
      </x:c>
      <x:c r="B2" t="str">
        <x:v>GCP V1 septiembre 2026, pruebas sintéticas; no facturación</x:v>
      </x:c>
    </x:row>
    <x:row r="3">
      <x:c r="A3" t="str">
        <x:v>Costo unitario V1 observado</x:v>
      </x:c>
      <x:c r="B3" t="n">
        <x:v>0.0023618</x:v>
      </x:c>
    </x:row>
    <x:row r="4">
      <x:c r="A4" t="str">
        <x:v>Escenario optimista / base / pesimista</x:v>
      </x:c>
      <x:c r="B4" t="str">
        <x:v>Costos proyectados, no medidos en V2</x:v>
      </x:c>
    </x:row>
    <x:row r="5">
      <x:c r="A5" t="str">
        <x:v>Infraestructura fija</x:v>
      </x:c>
      <x:c r="B5" t="str">
        <x:v>Estimaciones por escenario; no importe facturado</x:v>
      </x:c>
    </x:row>
    <x:row r="6">
      <x:c r="A6" t="str">
        <x:v>Escenarios de adopción</x:v>
      </x:c>
      <x:c r="B6" t="str">
        <x:v>Proyecciones comerciales, no ventas reales</x:v>
      </x:c>
    </x:row>
    <x:row r="7">
      <x:c r="A7" t="str">
        <x:v>VAN</x:v>
      </x:c>
      <x:c r="B7" t="str">
        <x:v>CAPEX restado del flujo del mes 1, no duplicar</x:v>
      </x:c>
    </x:row>
    <x:row r="8">
      <x:c r="A8" t="str">
        <x:v>Versión</x:v>
      </x:c>
      <x:c r="B8" t="str">
        <x:v>13/10/2026 — reconstrucción reproducible de cifras del capítulo 14</x:v>
      </x:c>
    </x:row>
    <x:row r="9">
      <x:c r="A9" t="str">
        <x:v>Alcance</x:v>
      </x:c>
      <x:c r="B9" t="str">
        <x:v>Libro reconciliado; original GitHub se conserva intacto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6" hidden="0" customWidth="1"/>
  </x:cols>
  <x:sheetData>
    <x:row r="1">
      <x:c r="A1" s="6" t="str">
        <x:v>Escenario</x:v>
      </x:c>
      <x:c r="B1" s="6" t="str">
        <x:v>Fee Starter</x:v>
      </x:c>
      <x:c r="C1" s="6" t="str">
        <x:v>Fee Professional</x:v>
      </x:c>
      <x:c r="D1" s="6" t="str">
        <x:v>Fee Enterprise</x:v>
      </x:c>
      <x:c r="E1" s="6" t="str">
        <x:v>Incl. Starter</x:v>
      </x:c>
      <x:c r="F1" s="6" t="str">
        <x:v>Incl. Professional</x:v>
      </x:c>
      <x:c r="G1" s="6" t="str">
        <x:v>Incl. Enterprise</x:v>
      </x:c>
      <x:c r="H1" s="6" t="str">
        <x:v>Exced. Starter</x:v>
      </x:c>
      <x:c r="I1" s="6" t="str">
        <x:v>Exced. Professional</x:v>
      </x:c>
      <x:c r="J1" s="6" t="str">
        <x:v>Exced. Enterprise</x:v>
      </x:c>
      <x:c r="K1" s="6" t="str">
        <x:v>Clientes iniciales S</x:v>
      </x:c>
      <x:c r="L1" s="6" t="str">
        <x:v>Clientes iniciales P</x:v>
      </x:c>
      <x:c r="M1" s="6" t="str">
        <x:v>Clientes iniciales E</x:v>
      </x:c>
      <x:c r="N1" s="6" t="str">
        <x:v>Adq/mes S</x:v>
      </x:c>
      <x:c r="O1" s="6" t="str">
        <x:v>Adq/mes P</x:v>
      </x:c>
      <x:c r="P1" s="6" t="str">
        <x:v>Adq/mes E</x:v>
      </x:c>
      <x:c r="Q1" s="6" t="str">
        <x:v>Churn/mes</x:v>
      </x:c>
      <x:c r="R1" s="6" t="str">
        <x:v>Estudios/cli S</x:v>
      </x:c>
      <x:c r="S1" s="6" t="str">
        <x:v>Estudios/cli P</x:v>
      </x:c>
      <x:c r="T1" s="6" t="str">
        <x:v>Estudios/cli E</x:v>
      </x:c>
      <x:c r="U1" s="6" t="str">
        <x:v>Cloud USD/estudio</x:v>
      </x:c>
      <x:c r="V1" t="str">
        <x:v>Fijo Cloud USD/mes</x:v>
      </x:c>
      <x:c r="W1" t="str">
        <x:v>Soporte USD/cliente</x:v>
      </x:c>
      <x:c r="X1" t="str">
        <x:v>Mant. Software</x:v>
      </x:c>
      <x:c r="Y1" t="str">
        <x:v>Soporte base</x:v>
      </x:c>
      <x:c r="Z1" t="str">
        <x:v>Admin</x:v>
      </x:c>
      <x:c r="AA1" t="str">
        <x:v>Comercial</x:v>
      </x:c>
      <x:c r="AB1" t="str">
        <x:v>Otros fijos</x:v>
      </x:c>
      <x:c r="AC1" t="str">
        <x:v>CAPEX desarrollo</x:v>
      </x:c>
      <x:c r="AD1" t="str">
        <x:v>CAPEX Cloud</x:v>
      </x:c>
      <x:c r="AE1" t="str">
        <x:v>CAPEX lanzamiento</x:v>
      </x:c>
      <x:c r="AF1" t="str">
        <x:v>Descuento anual</x:v>
      </x:c>
    </x:row>
    <x:row r="2">
      <x:c r="A2" t="str">
        <x:v>Pesimista</x:v>
      </x:c>
      <x:c r="B2" t="n">
        <x:v>400</x:v>
      </x:c>
      <x:c r="C2" t="n">
        <x:v>1100</x:v>
      </x:c>
      <x:c r="D2" t="n">
        <x:v>3000</x:v>
      </x:c>
      <x:c r="E2" t="n">
        <x:v>80</x:v>
      </x:c>
      <x:c r="F2" t="n">
        <x:v>300</x:v>
      </x:c>
      <x:c r="G2" t="n">
        <x:v>900</x:v>
      </x:c>
      <x:c r="H2" t="n">
        <x:v>6</x:v>
      </x:c>
      <x:c r="I2" t="n">
        <x:v>4.5</x:v>
      </x:c>
      <x:c r="J2" t="n">
        <x:v>3</x:v>
      </x:c>
      <x:c r="K2" t="n">
        <x:v>0</x:v>
      </x:c>
      <x:c r="L2" t="n">
        <x:v>0</x:v>
      </x:c>
      <x:c r="M2" t="n">
        <x:v>0</x:v>
      </x:c>
      <x:c r="N2" t="n">
        <x:v>0.15</x:v>
      </x:c>
      <x:c r="O2" t="n">
        <x:v>0.04</x:v>
      </x:c>
      <x:c r="P2" t="n">
        <x:v>0</x:v>
      </x:c>
      <x:c r="Q2" t="n">
        <x:v>0.035</x:v>
      </x:c>
      <x:c r="R2" t="n">
        <x:v>70</x:v>
      </x:c>
      <x:c r="S2" t="n">
        <x:v>260</x:v>
      </x:c>
      <x:c r="T2" t="n">
        <x:v>800</x:v>
      </x:c>
      <x:c r="U2" t="n">
        <x:v>0.02</x:v>
      </x:c>
      <x:c r="V2" t="n">
        <x:v>13.08</x:v>
      </x:c>
      <x:c r="W2" t="n">
        <x:v>90</x:v>
      </x:c>
      <x:c r="X2" t="n">
        <x:v>3500</x:v>
      </x:c>
      <x:c r="Y2" t="n">
        <x:v>700</x:v>
      </x:c>
      <x:c r="Z2" t="n">
        <x:v>300</x:v>
      </x:c>
      <x:c r="AA2" t="n">
        <x:v>400</x:v>
      </x:c>
      <x:c r="AB2" t="n">
        <x:v>150</x:v>
      </x:c>
      <x:c r="AC2" t="n">
        <x:v>8000</x:v>
      </x:c>
      <x:c r="AD2" t="n">
        <x:v>1000</x:v>
      </x:c>
      <x:c r="AE2" t="n">
        <x:v>500</x:v>
      </x:c>
      <x:c r="AF2" t="n">
        <x:v>0.35</x:v>
      </x:c>
    </x:row>
    <x:row r="3">
      <x:c r="A3" t="str">
        <x:v>Base</x:v>
      </x:c>
      <x:c r="B3" t="n">
        <x:v>600</x:v>
      </x:c>
      <x:c r="C3" t="n">
        <x:v>1600</x:v>
      </x:c>
      <x:c r="D3" t="n">
        <x:v>4500</x:v>
      </x:c>
      <x:c r="E3" t="n">
        <x:v>120</x:v>
      </x:c>
      <x:c r="F3" t="n">
        <x:v>500</x:v>
      </x:c>
      <x:c r="G3" t="n">
        <x:v>1500</x:v>
      </x:c>
      <x:c r="H3" t="n">
        <x:v>8</x:v>
      </x:c>
      <x:c r="I3" t="n">
        <x:v>6</x:v>
      </x:c>
      <x:c r="J3" t="n">
        <x:v>4</x:v>
      </x:c>
      <x:c r="K3" t="n">
        <x:v>1</x:v>
      </x:c>
      <x:c r="L3" t="n">
        <x:v>0</x:v>
      </x:c>
      <x:c r="M3" t="n">
        <x:v>0</x:v>
      </x:c>
      <x:c r="N3" t="n">
        <x:v>0.35</x:v>
      </x:c>
      <x:c r="O3" t="n">
        <x:v>0.12</x:v>
      </x:c>
      <x:c r="P3" t="n">
        <x:v>0.03</x:v>
      </x:c>
      <x:c r="Q3" t="n">
        <x:v>0.02</x:v>
      </x:c>
      <x:c r="R3" t="n">
        <x:v>130</x:v>
      </x:c>
      <x:c r="S3" t="n">
        <x:v>550</x:v>
      </x:c>
      <x:c r="T3" t="n">
        <x:v>1600</x:v>
      </x:c>
      <x:c r="U3" t="n">
        <x:v>0.0067</x:v>
      </x:c>
      <x:c r="V3" t="n">
        <x:v>12.08</x:v>
      </x:c>
      <x:c r="W3" t="n">
        <x:v>60</x:v>
      </x:c>
      <x:c r="X3" t="n">
        <x:v>5000</x:v>
      </x:c>
      <x:c r="Y3" t="n">
        <x:v>1200</x:v>
      </x:c>
      <x:c r="Z3" t="n">
        <x:v>600</x:v>
      </x:c>
      <x:c r="AA3" t="n">
        <x:v>1000</x:v>
      </x:c>
      <x:c r="AB3" t="n">
        <x:v>300</x:v>
      </x:c>
      <x:c r="AC3" t="n">
        <x:v>18000</x:v>
      </x:c>
      <x:c r="AD3" t="n">
        <x:v>2500</x:v>
      </x:c>
      <x:c r="AE3" t="n">
        <x:v>2500</x:v>
      </x:c>
      <x:c r="AF3" t="n">
        <x:v>0.25</x:v>
      </x:c>
    </x:row>
    <x:row r="4">
      <x:c r="A4" t="str">
        <x:v>Optimista</x:v>
      </x:c>
      <x:c r="B4" t="n">
        <x:v>900</x:v>
      </x:c>
      <x:c r="C4" t="n">
        <x:v>2300</x:v>
      </x:c>
      <x:c r="D4" t="n">
        <x:v>7000</x:v>
      </x:c>
      <x:c r="E4" t="n">
        <x:v>180</x:v>
      </x:c>
      <x:c r="F4" t="n">
        <x:v>750</x:v>
      </x:c>
      <x:c r="G4" t="n">
        <x:v>2400</x:v>
      </x:c>
      <x:c r="H4" t="n">
        <x:v>10</x:v>
      </x:c>
      <x:c r="I4" t="n">
        <x:v>8</x:v>
      </x:c>
      <x:c r="J4" t="n">
        <x:v>5</x:v>
      </x:c>
      <x:c r="K4" t="n">
        <x:v>2</x:v>
      </x:c>
      <x:c r="L4" t="n">
        <x:v>1</x:v>
      </x:c>
      <x:c r="M4" t="n">
        <x:v>0</x:v>
      </x:c>
      <x:c r="N4" t="n">
        <x:v>0.75</x:v>
      </x:c>
      <x:c r="O4" t="n">
        <x:v>0.3</x:v>
      </x:c>
      <x:c r="P4" t="n">
        <x:v>0.08</x:v>
      </x:c>
      <x:c r="Q4" t="n">
        <x:v>0.01</x:v>
      </x:c>
      <x:c r="R4" t="n">
        <x:v>190</x:v>
      </x:c>
      <x:c r="S4" t="n">
        <x:v>850</x:v>
      </x:c>
      <x:c r="T4" t="n">
        <x:v>2600</x:v>
      </x:c>
      <x:c r="U4" t="n">
        <x:v>0.0024</x:v>
      </x:c>
      <x:c r="V4" t="n">
        <x:v>11.08</x:v>
      </x:c>
      <x:c r="W4" t="n">
        <x:v>45</x:v>
      </x:c>
      <x:c r="X4" t="n">
        <x:v>7500</x:v>
      </x:c>
      <x:c r="Y4" t="n">
        <x:v>1800</x:v>
      </x:c>
      <x:c r="Z4" t="n">
        <x:v>900</x:v>
      </x:c>
      <x:c r="AA4" t="n">
        <x:v>2500</x:v>
      </x:c>
      <x:c r="AB4" t="n">
        <x:v>600</x:v>
      </x:c>
      <x:c r="AC4" t="n">
        <x:v>30000</x:v>
      </x:c>
      <x:c r="AD4" t="n">
        <x:v>5000</x:v>
      </x:c>
      <x:c r="AE4" t="n">
        <x:v>7000</x:v>
      </x:c>
      <x:c r="AF4" t="n">
        <x:v>0.18</x:v>
      </x:c>
    </x:row>
    <x:row r="5">
      <x:c r="A5" t="str">
        <x:v>Base Comercial Objetivo</x:v>
      </x:c>
      <x:c r="B5" t="n">
        <x:v>700</x:v>
      </x:c>
      <x:c r="C5" t="n">
        <x:v>1850</x:v>
      </x:c>
      <x:c r="D5" t="n">
        <x:v>5200</x:v>
      </x:c>
      <x:c r="E5" t="n">
        <x:v>120</x:v>
      </x:c>
      <x:c r="F5" t="n">
        <x:v>500</x:v>
      </x:c>
      <x:c r="G5" t="n">
        <x:v>1500</x:v>
      </x:c>
      <x:c r="H5" t="n">
        <x:v>9</x:v>
      </x:c>
      <x:c r="I5" t="n">
        <x:v>7</x:v>
      </x:c>
      <x:c r="J5" t="n">
        <x:v>4.5</x:v>
      </x:c>
      <x:c r="K5" t="n">
        <x:v>1</x:v>
      </x:c>
      <x:c r="L5" t="n">
        <x:v>0</x:v>
      </x:c>
      <x:c r="M5" t="n">
        <x:v>0</x:v>
      </x:c>
      <x:c r="N5" t="n">
        <x:v>0.35</x:v>
      </x:c>
      <x:c r="O5" t="n">
        <x:v>0.12</x:v>
      </x:c>
      <x:c r="P5" t="n">
        <x:v>0.03</x:v>
      </x:c>
      <x:c r="Q5" t="n">
        <x:v>0.02</x:v>
      </x:c>
      <x:c r="R5" t="n">
        <x:v>130</x:v>
      </x:c>
      <x:c r="S5" t="n">
        <x:v>550</x:v>
      </x:c>
      <x:c r="T5" t="n">
        <x:v>1600</x:v>
      </x:c>
      <x:c r="U5" t="n">
        <x:v>0.0067</x:v>
      </x:c>
      <x:c r="V5" t="n">
        <x:v>12.08</x:v>
      </x:c>
      <x:c r="W5" t="n">
        <x:v>60</x:v>
      </x:c>
      <x:c r="X5" t="n">
        <x:v>5000</x:v>
      </x:c>
      <x:c r="Y5" t="n">
        <x:v>1200</x:v>
      </x:c>
      <x:c r="Z5" t="n">
        <x:v>600</x:v>
      </x:c>
      <x:c r="AA5" t="n">
        <x:v>1000</x:v>
      </x:c>
      <x:c r="AB5" t="n">
        <x:v>300</x:v>
      </x:c>
      <x:c r="AC5" t="n">
        <x:v>18000</x:v>
      </x:c>
      <x:c r="AD5" t="n">
        <x:v>2500</x:v>
      </x:c>
      <x:c r="AE5" t="n">
        <x:v>2500</x:v>
      </x:c>
      <x:c r="AF5" t="n">
        <x:v>0.25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2" hidden="0" customWidth="1"/>
  </x:cols>
  <x:sheetData>
    <x:row r="1">
      <x:c r="A1" s="6" t="str">
        <x:v>Escenario</x:v>
      </x:c>
      <x:c r="B1" s="6" t="str">
        <x:v>MRR mes 36</x:v>
      </x:c>
      <x:c r="C1" s="6" t="str">
        <x:v>ARR mes 36</x:v>
      </x:c>
      <x:c r="D1" s="6" t="str">
        <x:v>Clientes mes 36</x:v>
      </x:c>
      <x:c r="E1" s="6" t="str">
        <x:v>Estudios mes 36</x:v>
      </x:c>
      <x:c r="F1" s="6" t="str">
        <x:v>VAN</x:v>
      </x:c>
      <x:c r="G1" s="6" t="str">
        <x:v>TIR anual</x:v>
      </x:c>
      <x:c r="H1" s="6" t="str">
        <x:v>Equilibrio mes</x:v>
      </x:c>
      <x:c r="I1" s="6" t="str">
        <x:v>Payback mes</x:v>
      </x:c>
      <x:c r="J1" s="6" t="str">
        <x:v>Margen bruto técnico mes 36</x:v>
      </x:c>
      <x:c r="K1" s="6"/>
      <x:c r="L1" s="6"/>
      <x:c r="M1" s="6"/>
      <x:c r="N1" s="6"/>
      <x:c r="O1" s="6"/>
      <x:c r="P1" s="6"/>
      <x:c r="Q1" s="6"/>
      <x:c r="R1" s="6"/>
      <x:c r="S1" s="6"/>
      <x:c r="T1" s="6"/>
      <x:c r="U1" s="6"/>
    </x:row>
    <x:row r="2">
      <x:c r="A2" t="str">
        <x:v>Pesimista</x:v>
      </x:c>
      <x:c r="B2" t="n">
        <x:f>'03_PESIMISTA'!L37</x:f>
        <x:v>2147.388036576937</x:v>
      </x:c>
      <x:c r="C2" t="n">
        <x:f>B2*12</x:f>
        <x:v>25768.656438923244</x:v>
      </x:c>
      <x:c r="D2" t="n">
        <x:f>'03_PESIMISTA'!E37</x:f>
        <x:v>3.923112759130942</x:v>
      </x:c>
      <x:c r="E2" t="n">
        <x:f>'03_PESIMISTA'!I37</x:f>
        <x:v>431.54240350440364</x:v>
      </x:c>
      <x:c r="F2" t="n">
        <x:f>SUM('03_PESIMISTA'!U2:U37)</x:f>
        <x:v>-105093.5968254713</x:v>
      </x:c>
      <x:c r="G2" t="str">
        <x:f>IFERROR((1+IRR('03_PESIMISTA'!S2:S37))^12-1,"n.a.")</x:f>
        <x:v>n.a.</x:v>
      </x:c>
      <x:c r="H2" t="str">
        <x:f>IFERROR(MATCH(1,'03_PESIMISTA'!V2:V37,0),"No alcanzado")</x:f>
        <x:v>No alcanzado</x:v>
      </x:c>
      <x:c r="I2" t="str">
        <x:f>IFERROR(MATCH(1,'03_PESIMISTA'!$W$2:$W$37,0),"No alcanzado")</x:f>
        <x:v>No alcanzado</x:v>
      </x:c>
      <x:c r="J2" t="n">
        <x:f>('03_PESIMISTA'!L37-'03_PESIMISTA'!M37)/'03_PESIMISTA'!L37</x:f>
        <x:v>0.9959807692307692</x:v>
      </x:c>
    </x:row>
    <x:row r="3">
      <x:c r="A3" t="str">
        <x:v>Base</x:v>
      </x:c>
      <x:c r="B3" t="n">
        <x:f>'04_BASE'!L37</x:f>
        <x:v>16174.808362515074</x:v>
      </x:c>
      <x:c r="C3" t="n">
        <x:f>B3*12</x:f>
        <x:v>194097.70035018088</x:v>
      </x:c>
      <x:c r="D3" t="n">
        <x:f>'04_BASE'!E37</x:f>
        <x:v>13.412746415475155</x:v>
      </x:c>
      <x:c r="E3" t="n">
        <x:f>'04_BASE'!I37</x:f>
        <x:v>4185.47500323976</x:v>
      </x:c>
      <x:c r="F3" t="n">
        <x:f>SUM('04_BASE'!U2:U37)</x:f>
        <x:v>-18492.41651015553</x:v>
      </x:c>
      <x:c r="G3" t="n">
        <x:f>IFERROR((1+IRR('04_BASE'!S2:S37))^12-1,"n.a.")</x:f>
        <x:v>0.07322729576218334</x:v>
      </x:c>
      <x:c r="H3" t="n">
        <x:f>IFERROR(MATCH(1,'04_BASE'!V2:V37,0),"No alcanzado")</x:f>
        <x:v>16</x:v>
      </x:c>
      <x:c r="I3" t="n">
        <x:f>IFERROR(MATCH(1,'04_BASE'!$W$2:$W$37,0),"No alcanzado")</x:f>
        <x:v>35</x:v>
      </x:c>
      <x:c r="J3" t="n">
        <x:f>('04_BASE'!L37-'04_BASE'!M37)/'04_BASE'!L37</x:f>
        <x:v>0.9982662742028713</x:v>
      </x:c>
    </x:row>
    <x:row r="4">
      <x:c r="A4" t="str">
        <x:v>Optimista</x:v>
      </x:c>
      <x:c r="B4" t="n">
        <x:f>'05_OPTIMISTA'!L37</x:f>
        <x:v>74019.7166569967</x:v>
      </x:c>
      <x:c r="C4" t="n">
        <x:f>B4*12</x:f>
        <x:v>888236.5998839603</x:v>
      </x:c>
      <x:c r="D4" t="n">
        <x:f>'05_OPTIMISTA'!E37</x:f>
        <x:v>36.415649445396866</x:v>
      </x:c>
      <x:c r="E4" t="n">
        <x:f>'05_OPTIMISTA'!I37</x:f>
        <x:v>19247.420311947782</x:v>
      </x:c>
      <x:c r="F4" t="n">
        <x:f>SUM('05_OPTIMISTA'!U2:U37)</x:f>
        <x:v>678867.0707242264</x:v>
      </x:c>
      <x:c r="G4" t="n">
        <x:f>IFERROR((1+IRR('05_OPTIMISTA'!S2:S37))^12-1,"n.a.")</x:f>
        <x:v>5.412708544698181</x:v>
      </x:c>
      <x:c r="H4" t="n">
        <x:f>IFERROR(MATCH(1,'05_OPTIMISTA'!V2:V37,0),"No alcanzado")</x:f>
        <x:v>4</x:v>
      </x:c>
      <x:c r="I4" t="n">
        <x:f>IFERROR(MATCH(1,'05_OPTIMISTA'!$W$2:$W$37,0),"No alcanzado")</x:f>
        <x:v>11</x:v>
      </x:c>
      <x:c r="J4" t="n">
        <x:f>('05_OPTIMISTA'!L37-'05_OPTIMISTA'!M37)/'05_OPTIMISTA'!L37</x:f>
        <x:v>0.9993759256204298</x:v>
      </x:c>
    </x:row>
    <x:row r="5">
      <x:c r="A5" t="str">
        <x:v>Base Comercial Objetivo</x:v>
      </x:c>
      <x:c r="B5" t="n">
        <x:f>'06_BASE_OBJETIVO'!L37</x:f>
        <x:v>18735.462898985334</x:v>
      </x:c>
      <x:c r="C5" t="n">
        <x:f>B5*12</x:f>
        <x:v>224825.554787824</x:v>
      </x:c>
      <x:c r="D5" t="n">
        <x:f>'06_BASE_OBJETIVO'!E37</x:f>
        <x:v>13.412746415475155</x:v>
      </x:c>
      <x:c r="E5" t="n">
        <x:f>'06_BASE_OBJETIVO'!I37</x:f>
        <x:v>4185.47500323976</x:v>
      </x:c>
      <x:c r="F5" t="n">
        <x:f>SUM('06_BASE_OBJETIVO'!U2:U37)</x:f>
        <x:v>17476.72965608876</x:v>
      </x:c>
      <x:c r="G5" t="n">
        <x:f>IFERROR((1+IRR('06_BASE_OBJETIVO'!S2:S37))^12-1,"n.a.")</x:f>
        <x:v>0.4186891351771953</x:v>
      </x:c>
      <x:c r="H5" t="n">
        <x:f>IFERROR(MATCH(1,'06_BASE_OBJETIVO'!V2:V37,0),"No alcanzado")</x:f>
        <x:v>13</x:v>
      </x:c>
      <x:c r="I5" t="n">
        <x:f>IFERROR(MATCH(1,'06_BASE_OBJETIVO'!$W$2:$W$37,0),"No alcanzado")</x:f>
        <x:v>29</x:v>
      </x:c>
      <x:c r="J5" t="n">
        <x:f>('06_BASE_OBJETIVO'!L37-'06_BASE_OBJETIVO'!M37)/'06_BASE_OBJETIVO'!L37</x:f>
        <x:v>0.9985032298015318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2" hidden="0" customWidth="1"/>
  </x:cols>
  <x:sheetData>
    <x:row r="1">
      <x:c r="A1" s="6" t="str">
        <x:v>Mes</x:v>
      </x:c>
      <x:c r="B1" s="6" t="str">
        <x:v>Clientes S</x:v>
      </x:c>
      <x:c r="C1" s="6" t="str">
        <x:v>Clientes P</x:v>
      </x:c>
      <x:c r="D1" s="6" t="str">
        <x:v>Clientes E</x:v>
      </x:c>
      <x:c r="E1" s="6" t="str">
        <x:v>Clientes Total</x:v>
      </x:c>
      <x:c r="F1" s="6" t="str">
        <x:v>Estudios S</x:v>
      </x:c>
      <x:c r="G1" s="6" t="str">
        <x:v>Estudios P</x:v>
      </x:c>
      <x:c r="H1" s="6" t="str">
        <x:v>Estudios E</x:v>
      </x:c>
      <x:c r="I1" s="6" t="str">
        <x:v>Estudios Total</x:v>
      </x:c>
      <x:c r="J1" s="6" t="str">
        <x:v>Suscripciones</x:v>
      </x:c>
      <x:c r="K1" s="6" t="str">
        <x:v>Excedentes</x:v>
      </x:c>
      <x:c r="L1" s="6" t="str">
        <x:v>Ingresos</x:v>
      </x:c>
      <x:c r="M1" s="6" t="str">
        <x:v>Cloud variable</x:v>
      </x:c>
      <x:c r="N1" s="6" t="str">
        <x:v>Soporte variable</x:v>
      </x:c>
      <x:c r="O1" s="6" t="str">
        <x:v>Variables total</x:v>
      </x:c>
      <x:c r="P1" s="6" t="str">
        <x:v>Fijos total</x:v>
      </x:c>
      <x:c r="Q1" s="6" t="str">
        <x:v>Operativo</x:v>
      </x:c>
      <x:c r="R1" s="6" t="str">
        <x:v>CAPEX</x:v>
      </x:c>
      <x:c r="S1" s="6" t="str">
        <x:v>Flujo neto</x:v>
      </x:c>
      <x:c r="T1" s="6" t="str">
        <x:v>Acumulado</x:v>
      </x:c>
      <x:c r="U1" s="6" t="str">
        <x:v>Flujo descontado</x:v>
      </x:c>
      <x:c r="V1" t="str">
        <x:v>Equilibrio flag</x:v>
      </x:c>
      <x:c r="W1" t="str">
        <x:v>Payback flag</x:v>
      </x:c>
    </x:row>
    <x:row r="2">
      <x:c r="A2" t="n">
        <x:f>1</x:f>
        <x:v>1</x:v>
      </x:c>
      <x:c r="B2" t="n">
        <x:f>'01_SUPUESTOS'!K2+'01_SUPUESTOS'!N2</x:f>
        <x:v>0.15</x:v>
      </x:c>
      <x:c r="C2" t="n">
        <x:f>'01_SUPUESTOS'!L2+'01_SUPUESTOS'!O2</x:f>
        <x:v>0.04</x:v>
      </x:c>
      <x:c r="D2" t="n">
        <x:f>'01_SUPUESTOS'!M2+'01_SUPUESTOS'!P2</x:f>
        <x:v>0</x:v>
      </x:c>
      <x:c r="E2" t="n">
        <x:f>SUM(B2:D2)</x:f>
        <x:v>0.19</x:v>
      </x:c>
      <x:c r="F2" t="n">
        <x:f>B2*'01_SUPUESTOS'!R2</x:f>
        <x:v>10.5</x:v>
      </x:c>
      <x:c r="G2" t="n">
        <x:f>C2*'01_SUPUESTOS'!S2</x:f>
        <x:v>10.4</x:v>
      </x:c>
      <x:c r="H2" t="n">
        <x:f>D2*'01_SUPUESTOS'!T2</x:f>
        <x:v>0</x:v>
      </x:c>
      <x:c r="I2" t="n">
        <x:f>SUM(F2:H2)</x:f>
        <x:v>20.9</x:v>
      </x:c>
      <x:c r="J2" t="n">
        <x:f>B2*'01_SUPUESTOS'!B2+C2*'01_SUPUESTOS'!C2+D2*'01_SUPUESTOS'!D2</x:f>
        <x:v>104</x:v>
      </x:c>
      <x:c r="K2" t="n">
        <x:f>MAX(F2-B2*'01_SUPUESTOS'!E2,0)*'01_SUPUESTOS'!H2+MAX(G2-C2*'01_SUPUESTOS'!F2,0)*'01_SUPUESTOS'!I2+MAX(H2-D2*'01_SUPUESTOS'!G2,0)*'01_SUPUESTOS'!J2</x:f>
        <x:v>0</x:v>
      </x:c>
      <x:c r="L2" t="n">
        <x:f>J2+K2</x:f>
        <x:v>104</x:v>
      </x:c>
      <x:c r="M2" t="n">
        <x:f>I2*'01_SUPUESTOS'!U2</x:f>
        <x:v>0.418</x:v>
      </x:c>
      <x:c r="N2" t="n">
        <x:f>E2*'01_SUPUESTOS'!W2</x:f>
        <x:v>17.1</x:v>
      </x:c>
      <x:c r="O2" t="n">
        <x:f>M2+N2</x:f>
        <x:v>17.518</x:v>
      </x:c>
      <x:c r="P2" t="n">
        <x:f>SUM('01_SUPUESTOS'!V2,'01_SUPUESTOS'!X2:AB2)</x:f>
        <x:v>5063.08</x:v>
      </x:c>
      <x:c r="Q2" t="n">
        <x:f>L2-O2-P2</x:f>
        <x:v>-4976.598</x:v>
      </x:c>
      <x:c r="R2" t="n">
        <x:f>SUM('01_SUPUESTOS'!AC2:AE2)</x:f>
        <x:v>9500</x:v>
      </x:c>
      <x:c r="S2" t="n">
        <x:f>Q2-R2</x:f>
        <x:v>-14476.598</x:v>
      </x:c>
      <x:c r="T2" t="n">
        <x:f>S2</x:f>
        <x:v>-14476.598</x:v>
      </x:c>
      <x:c r="U2" t="n">
        <x:f>S2/(1+(1+'01_SUPUESTOS'!AF2)^(1/12)-1)^A2</x:f>
        <x:v>-14119.046459174431</x:v>
      </x:c>
      <x:c r="V2" t="n">
        <x:f>IF(Q2&gt;=0,1,0)</x:f>
        <x:v>0</x:v>
      </x:c>
      <x:c r="W2" t="n">
        <x:f>IF(T2&gt;=0,1,0)</x:f>
        <x:v>0</x:v>
      </x:c>
    </x:row>
    <x:row r="3">
      <x:c r="A3" t="n">
        <x:f>2</x:f>
        <x:v>2</x:v>
      </x:c>
      <x:c r="B3" t="n">
        <x:f>B2*(1-'01_SUPUESTOS'!Q2)+'01_SUPUESTOS'!N2</x:f>
        <x:v>0.29474999999999996</x:v>
      </x:c>
      <x:c r="C3" t="n">
        <x:f>C2*(1-'01_SUPUESTOS'!Q2)+'01_SUPUESTOS'!O2</x:f>
        <x:v>0.0786</x:v>
      </x:c>
      <x:c r="D3" t="n">
        <x:f>D2*(1-'01_SUPUESTOS'!Q2)+'01_SUPUESTOS'!P2</x:f>
        <x:v>0</x:v>
      </x:c>
      <x:c r="E3" t="n">
        <x:f>SUM(B3:D3)</x:f>
        <x:v>0.37334999999999996</x:v>
      </x:c>
      <x:c r="F3" t="n">
        <x:f>B3*'01_SUPUESTOS'!R2</x:f>
        <x:v>20.632499999999997</x:v>
      </x:c>
      <x:c r="G3" t="n">
        <x:f>C3*'01_SUPUESTOS'!S2</x:f>
        <x:v>20.436</x:v>
      </x:c>
      <x:c r="H3" t="n">
        <x:f>D3*'01_SUPUESTOS'!T2</x:f>
        <x:v>0</x:v>
      </x:c>
      <x:c r="I3" t="n">
        <x:f>SUM(F3:H3)</x:f>
        <x:v>41.0685</x:v>
      </x:c>
      <x:c r="J3" t="n">
        <x:f>B3*'01_SUPUESTOS'!B2+C3*'01_SUPUESTOS'!C2+D3*'01_SUPUESTOS'!D2</x:f>
        <x:v>204.35999999999999</x:v>
      </x:c>
      <x:c r="K3" t="n">
        <x:f>MAX(F3-B3*'01_SUPUESTOS'!E2,0)*'01_SUPUESTOS'!H2+MAX(G3-C3*'01_SUPUESTOS'!F2,0)*'01_SUPUESTOS'!I2+MAX(H3-D3*'01_SUPUESTOS'!G2,0)*'01_SUPUESTOS'!J2</x:f>
        <x:v>0</x:v>
      </x:c>
      <x:c r="L3" t="n">
        <x:f>J3+K3</x:f>
        <x:v>204.35999999999999</x:v>
      </x:c>
      <x:c r="M3" t="n">
        <x:f>I3*'01_SUPUESTOS'!U2</x:f>
        <x:v>0.82137</x:v>
      </x:c>
      <x:c r="N3" t="n">
        <x:f>E3*'01_SUPUESTOS'!W2</x:f>
        <x:v>33.601499999999994</x:v>
      </x:c>
      <x:c r="O3" t="n">
        <x:f>M3+N3</x:f>
        <x:v>34.422869999999996</x:v>
      </x:c>
      <x:c r="P3" t="n">
        <x:f>SUM('01_SUPUESTOS'!V2,'01_SUPUESTOS'!X2:AB2)</x:f>
        <x:v>5063.08</x:v>
      </x:c>
      <x:c r="Q3" t="n">
        <x:f>L3-O3-P3</x:f>
        <x:v>-4893.14287</x:v>
      </x:c>
      <x:c r="R3" t="n">
        <x:f>0</x:f>
        <x:v>0</x:v>
      </x:c>
      <x:c r="S3" t="n">
        <x:f>Q3-R3</x:f>
        <x:v>-4893.14287</x:v>
      </x:c>
      <x:c r="T3" t="n">
        <x:f>T2+S3</x:f>
        <x:v>-19369.74087</x:v>
      </x:c>
      <x:c r="U3" t="n">
        <x:f>S3/(1+(1+'01_SUPUESTOS'!AF2)^(1/12)-1)^A3</x:f>
        <x:v>-4654.420339317984</x:v>
      </x:c>
      <x:c r="V3" t="n">
        <x:f>IF(Q3&gt;=0,1,0)</x:f>
        <x:v>0</x:v>
      </x:c>
      <x:c r="W3" t="n">
        <x:f>IF(T3&gt;=0,1,0)</x:f>
        <x:v>0</x:v>
      </x:c>
    </x:row>
    <x:row r="4">
      <x:c r="A4" t="n">
        <x:f>3</x:f>
        <x:v>3</x:v>
      </x:c>
      <x:c r="B4" t="n">
        <x:f>B3*(1-'01_SUPUESTOS'!Q2)+'01_SUPUESTOS'!N2</x:f>
        <x:v>0.43443374999999995</x:v>
      </x:c>
      <x:c r="C4" t="n">
        <x:f>C3*(1-'01_SUPUESTOS'!Q2)+'01_SUPUESTOS'!O2</x:f>
        <x:v>0.11584900000000001</x:v>
      </x:c>
      <x:c r="D4" t="n">
        <x:f>D3*(1-'01_SUPUESTOS'!Q2)+'01_SUPUESTOS'!P2</x:f>
        <x:v>0</x:v>
      </x:c>
      <x:c r="E4" t="n">
        <x:f>SUM(B4:D4)</x:f>
        <x:v>0.5502827499999999</x:v>
      </x:c>
      <x:c r="F4" t="n">
        <x:f>B4*'01_SUPUESTOS'!R2</x:f>
        <x:v>30.410362499999998</x:v>
      </x:c>
      <x:c r="G4" t="n">
        <x:f>C4*'01_SUPUESTOS'!S2</x:f>
        <x:v>30.12074</x:v>
      </x:c>
      <x:c r="H4" t="n">
        <x:f>D4*'01_SUPUESTOS'!T2</x:f>
        <x:v>0</x:v>
      </x:c>
      <x:c r="I4" t="n">
        <x:f>SUM(F4:H4)</x:f>
        <x:v>60.5311025</x:v>
      </x:c>
      <x:c r="J4" t="n">
        <x:f>B4*'01_SUPUESTOS'!B2+C4*'01_SUPUESTOS'!C2+D4*'01_SUPUESTOS'!D2</x:f>
        <x:v>301.2074</x:v>
      </x:c>
      <x:c r="K4" t="n">
        <x:f>MAX(F4-B4*'01_SUPUESTOS'!E2,0)*'01_SUPUESTOS'!H2+MAX(G4-C4*'01_SUPUESTOS'!F2,0)*'01_SUPUESTOS'!I2+MAX(H4-D4*'01_SUPUESTOS'!G2,0)*'01_SUPUESTOS'!J2</x:f>
        <x:v>0</x:v>
      </x:c>
      <x:c r="L4" t="n">
        <x:f>J4+K4</x:f>
        <x:v>301.2074</x:v>
      </x:c>
      <x:c r="M4" t="n">
        <x:f>I4*'01_SUPUESTOS'!U2</x:f>
        <x:v>1.21062205</x:v>
      </x:c>
      <x:c r="N4" t="n">
        <x:f>E4*'01_SUPUESTOS'!W2</x:f>
        <x:v>49.52544749999999</x:v>
      </x:c>
      <x:c r="O4" t="n">
        <x:f>M4+N4</x:f>
        <x:v>50.73606954999999</x:v>
      </x:c>
      <x:c r="P4" t="n">
        <x:f>SUM('01_SUPUESTOS'!V2,'01_SUPUESTOS'!X2:AB2)</x:f>
        <x:v>5063.08</x:v>
      </x:c>
      <x:c r="Q4" t="n">
        <x:f>L4-O4-P4</x:f>
        <x:v>-4812.60866955</x:v>
      </x:c>
      <x:c r="R4" t="n">
        <x:f>0</x:f>
        <x:v>0</x:v>
      </x:c>
      <x:c r="S4" t="n">
        <x:f>Q4-R4</x:f>
        <x:v>-4812.60866955</x:v>
      </x:c>
      <x:c r="T4" t="n">
        <x:f>T3+S4</x:f>
        <x:v>-24182.34953955</x:v>
      </x:c>
      <x:c r="U4" t="n">
        <x:f>S4/(1+(1+'01_SUPUESTOS'!AF2)^(1/12)-1)^A4</x:f>
        <x:v>-4464.7495991218175</x:v>
      </x:c>
      <x:c r="V4" t="n">
        <x:f>IF(Q4&gt;=0,1,0)</x:f>
        <x:v>0</x:v>
      </x:c>
      <x:c r="W4" t="n">
        <x:f>IF(T4&gt;=0,1,0)</x:f>
        <x:v>0</x:v>
      </x:c>
    </x:row>
    <x:row r="5">
      <x:c r="A5" t="n">
        <x:f>4</x:f>
        <x:v>4</x:v>
      </x:c>
      <x:c r="B5" t="n">
        <x:f>B4*(1-'01_SUPUESTOS'!Q2)+'01_SUPUESTOS'!N2</x:f>
        <x:v>0.5692285687499999</x:v>
      </x:c>
      <x:c r="C5" t="n">
        <x:f>C4*(1-'01_SUPUESTOS'!Q2)+'01_SUPUESTOS'!O2</x:f>
        <x:v>0.151794285</x:v>
      </x:c>
      <x:c r="D5" t="n">
        <x:f>D4*(1-'01_SUPUESTOS'!Q2)+'01_SUPUESTOS'!P2</x:f>
        <x:v>0</x:v>
      </x:c>
      <x:c r="E5" t="n">
        <x:f>SUM(B5:D5)</x:f>
        <x:v>0.72102285375</x:v>
      </x:c>
      <x:c r="F5" t="n">
        <x:f>B5*'01_SUPUESTOS'!R2</x:f>
        <x:v>39.8459998125</x:v>
      </x:c>
      <x:c r="G5" t="n">
        <x:f>C5*'01_SUPUESTOS'!S2</x:f>
        <x:v>39.4665141</x:v>
      </x:c>
      <x:c r="H5" t="n">
        <x:f>D5*'01_SUPUESTOS'!T2</x:f>
        <x:v>0</x:v>
      </x:c>
      <x:c r="I5" t="n">
        <x:f>SUM(F5:H5)</x:f>
        <x:v>79.3125139125</x:v>
      </x:c>
      <x:c r="J5" t="n">
        <x:f>B5*'01_SUPUESTOS'!B2+C5*'01_SUPUESTOS'!C2+D5*'01_SUPUESTOS'!D2</x:f>
        <x:v>394.66514099999995</x:v>
      </x:c>
      <x:c r="K5" t="n">
        <x:f>MAX(F5-B5*'01_SUPUESTOS'!E2,0)*'01_SUPUESTOS'!H2+MAX(G5-C5*'01_SUPUESTOS'!F2,0)*'01_SUPUESTOS'!I2+MAX(H5-D5*'01_SUPUESTOS'!G2,0)*'01_SUPUESTOS'!J2</x:f>
        <x:v>0</x:v>
      </x:c>
      <x:c r="L5" t="n">
        <x:f>J5+K5</x:f>
        <x:v>394.66514099999995</x:v>
      </x:c>
      <x:c r="M5" t="n">
        <x:f>I5*'01_SUPUESTOS'!U2</x:f>
        <x:v>1.5862502782499999</x:v>
      </x:c>
      <x:c r="N5" t="n">
        <x:f>E5*'01_SUPUESTOS'!W2</x:f>
        <x:v>64.8920568375</x:v>
      </x:c>
      <x:c r="O5" t="n">
        <x:f>M5+N5</x:f>
        <x:v>66.47830711575</x:v>
      </x:c>
      <x:c r="P5" t="n">
        <x:f>SUM('01_SUPUESTOS'!V2,'01_SUPUESTOS'!X2:AB2)</x:f>
        <x:v>5063.08</x:v>
      </x:c>
      <x:c r="Q5" t="n">
        <x:f>L5-O5-P5</x:f>
        <x:v>-4734.89316611575</x:v>
      </x:c>
      <x:c r="R5" t="n">
        <x:f>0</x:f>
        <x:v>0</x:v>
      </x:c>
      <x:c r="S5" t="n">
        <x:f>Q5-R5</x:f>
        <x:v>-4734.89316611575</x:v>
      </x:c>
      <x:c r="T5" t="n">
        <x:f>T4+S5</x:f>
        <x:v>-28917.24270566575</x:v>
      </x:c>
      <x:c r="U5" t="n">
        <x:f>S5/(1+(1+'01_SUPUESTOS'!AF2)^(1/12)-1)^A5</x:f>
        <x:v>-4284.159140933146</x:v>
      </x:c>
      <x:c r="V5" t="n">
        <x:f>IF(Q5&gt;=0,1,0)</x:f>
        <x:v>0</x:v>
      </x:c>
      <x:c r="W5" t="n">
        <x:f>IF(T5&gt;=0,1,0)</x:f>
        <x:v>0</x:v>
      </x:c>
    </x:row>
    <x:row r="6">
      <x:c r="A6" t="n">
        <x:f>5</x:f>
        <x:v>5</x:v>
      </x:c>
      <x:c r="B6" t="n">
        <x:f>B5*(1-'01_SUPUESTOS'!Q2)+'01_SUPUESTOS'!N2</x:f>
        <x:v>0.69930556884375</x:v>
      </x:c>
      <x:c r="C6" t="n">
        <x:f>C5*(1-'01_SUPUESTOS'!Q2)+'01_SUPUESTOS'!O2</x:f>
        <x:v>0.186481485025</x:v>
      </x:c>
      <x:c r="D6" t="n">
        <x:f>D5*(1-'01_SUPUESTOS'!Q2)+'01_SUPUESTOS'!P2</x:f>
        <x:v>0</x:v>
      </x:c>
      <x:c r="E6" t="n">
        <x:f>SUM(B6:D6)</x:f>
        <x:v>0.88578705386875</x:v>
      </x:c>
      <x:c r="F6" t="n">
        <x:f>B6*'01_SUPUESTOS'!R2</x:f>
        <x:v>48.9513898190625</x:v>
      </x:c>
      <x:c r="G6" t="n">
        <x:f>C6*'01_SUPUESTOS'!S2</x:f>
        <x:v>48.4851861065</x:v>
      </x:c>
      <x:c r="H6" t="n">
        <x:f>D6*'01_SUPUESTOS'!T2</x:f>
        <x:v>0</x:v>
      </x:c>
      <x:c r="I6" t="n">
        <x:f>SUM(F6:H6)</x:f>
        <x:v>97.4365759255625</x:v>
      </x:c>
      <x:c r="J6" t="n">
        <x:f>B6*'01_SUPUESTOS'!B2+C6*'01_SUPUESTOS'!C2+D6*'01_SUPUESTOS'!D2</x:f>
        <x:v>484.851861065</x:v>
      </x:c>
      <x:c r="K6" t="n">
        <x:f>MAX(F6-B6*'01_SUPUESTOS'!E2,0)*'01_SUPUESTOS'!H2+MAX(G6-C6*'01_SUPUESTOS'!F2,0)*'01_SUPUESTOS'!I2+MAX(H6-D6*'01_SUPUESTOS'!G2,0)*'01_SUPUESTOS'!J2</x:f>
        <x:v>0</x:v>
      </x:c>
      <x:c r="L6" t="n">
        <x:f>J6+K6</x:f>
        <x:v>484.851861065</x:v>
      </x:c>
      <x:c r="M6" t="n">
        <x:f>I6*'01_SUPUESTOS'!U2</x:f>
        <x:v>1.94873151851125</x:v>
      </x:c>
      <x:c r="N6" t="n">
        <x:f>E6*'01_SUPUESTOS'!W2</x:f>
        <x:v>79.72083484818751</x:v>
      </x:c>
      <x:c r="O6" t="n">
        <x:f>M6+N6</x:f>
        <x:v>81.66956636669876</x:v>
      </x:c>
      <x:c r="P6" t="n">
        <x:f>SUM('01_SUPUESTOS'!V2,'01_SUPUESTOS'!X2:AB2)</x:f>
        <x:v>5063.08</x:v>
      </x:c>
      <x:c r="Q6" t="n">
        <x:f>L6-O6-P6</x:f>
        <x:v>-4659.897705301699</x:v>
      </x:c>
      <x:c r="R6" t="n">
        <x:f>0</x:f>
        <x:v>0</x:v>
      </x:c>
      <x:c r="S6" t="n">
        <x:f>Q6-R6</x:f>
        <x:v>-4659.897705301699</x:v>
      </x:c>
      <x:c r="T6" t="n">
        <x:f>T5+S6</x:f>
        <x:v>-33577.14041096745</x:v>
      </x:c>
      <x:c r="U6" t="n">
        <x:f>S6/(1+(1+'01_SUPUESTOS'!AF2)^(1/12)-1)^A6</x:f>
        <x:v>-4112.166078415473</x:v>
      </x:c>
      <x:c r="V6" t="n">
        <x:f>IF(Q6&gt;=0,1,0)</x:f>
        <x:v>0</x:v>
      </x:c>
      <x:c r="W6" t="n">
        <x:f>IF(T6&gt;=0,1,0)</x:f>
        <x:v>0</x:v>
      </x:c>
    </x:row>
    <x:row r="7">
      <x:c r="A7" t="n">
        <x:f>6</x:f>
        <x:v>6</x:v>
      </x:c>
      <x:c r="B7" t="n">
        <x:f>B6*(1-'01_SUPUESTOS'!Q2)+'01_SUPUESTOS'!N2</x:f>
        <x:v>0.8248298739342187</x:v>
      </x:c>
      <x:c r="C7" t="n">
        <x:f>C6*(1-'01_SUPUESTOS'!Q2)+'01_SUPUESTOS'!O2</x:f>
        <x:v>0.21995463304912502</x:v>
      </x:c>
      <x:c r="D7" t="n">
        <x:f>D6*(1-'01_SUPUESTOS'!Q2)+'01_SUPUESTOS'!P2</x:f>
        <x:v>0</x:v>
      </x:c>
      <x:c r="E7" t="n">
        <x:f>SUM(B7:D7)</x:f>
        <x:v>1.0447845069833437</x:v>
      </x:c>
      <x:c r="F7" t="n">
        <x:f>B7*'01_SUPUESTOS'!R2</x:f>
        <x:v>57.73809117539531</x:v>
      </x:c>
      <x:c r="G7" t="n">
        <x:f>C7*'01_SUPUESTOS'!S2</x:f>
        <x:v>57.18820459277251</x:v>
      </x:c>
      <x:c r="H7" t="n">
        <x:f>D7*'01_SUPUESTOS'!T2</x:f>
        <x:v>0</x:v>
      </x:c>
      <x:c r="I7" t="n">
        <x:f>SUM(F7:H7)</x:f>
        <x:v>114.92629576816782</x:v>
      </x:c>
      <x:c r="J7" t="n">
        <x:f>B7*'01_SUPUESTOS'!B2+C7*'01_SUPUESTOS'!C2+D7*'01_SUPUESTOS'!D2</x:f>
        <x:v>571.882045927725</x:v>
      </x:c>
      <x:c r="K7" t="n">
        <x:f>MAX(F7-B7*'01_SUPUESTOS'!E2,0)*'01_SUPUESTOS'!H2+MAX(G7-C7*'01_SUPUESTOS'!F2,0)*'01_SUPUESTOS'!I2+MAX(H7-D7*'01_SUPUESTOS'!G2,0)*'01_SUPUESTOS'!J2</x:f>
        <x:v>0</x:v>
      </x:c>
      <x:c r="L7" t="n">
        <x:f>J7+K7</x:f>
        <x:v>571.882045927725</x:v>
      </x:c>
      <x:c r="M7" t="n">
        <x:f>I7*'01_SUPUESTOS'!U2</x:f>
        <x:v>2.2985259153633564</x:v>
      </x:c>
      <x:c r="N7" t="n">
        <x:f>E7*'01_SUPUESTOS'!W2</x:f>
        <x:v>94.03060562850094</x:v>
      </x:c>
      <x:c r="O7" t="n">
        <x:f>M7+N7</x:f>
        <x:v>96.32913154386429</x:v>
      </x:c>
      <x:c r="P7" t="n">
        <x:f>SUM('01_SUPUESTOS'!V2,'01_SUPUESTOS'!X2:AB2)</x:f>
        <x:v>5063.08</x:v>
      </x:c>
      <x:c r="Q7" t="n">
        <x:f>L7-O7-P7</x:f>
        <x:v>-4587.527085616139</x:v>
      </x:c>
      <x:c r="R7" t="n">
        <x:f>0</x:f>
        <x:v>0</x:v>
      </x:c>
      <x:c r="S7" t="n">
        <x:f>Q7-R7</x:f>
        <x:v>-4587.527085616139</x:v>
      </x:c>
      <x:c r="T7" t="n">
        <x:f>T6+S7</x:f>
        <x:v>-38164.667496583585</x:v>
      </x:c>
      <x:c r="U7" t="n">
        <x:f>S7/(1+(1+'01_SUPUESTOS'!AF2)^(1/12)-1)^A7</x:f>
        <x:v>-3948.3146673037277</x:v>
      </x:c>
      <x:c r="V7" t="n">
        <x:f>IF(Q7&gt;=0,1,0)</x:f>
        <x:v>0</x:v>
      </x:c>
      <x:c r="W7" t="n">
        <x:f>IF(T7&gt;=0,1,0)</x:f>
        <x:v>0</x:v>
      </x:c>
    </x:row>
    <x:row r="8">
      <x:c r="A8" t="n">
        <x:f>7</x:f>
        <x:v>7</x:v>
      </x:c>
      <x:c r="B8" t="n">
        <x:f>B7*(1-'01_SUPUESTOS'!Q2)+'01_SUPUESTOS'!N2</x:f>
        <x:v>0.9459608283465211</x:v>
      </x:c>
      <x:c r="C8" t="n">
        <x:f>C7*(1-'01_SUPUESTOS'!Q2)+'01_SUPUESTOS'!O2</x:f>
        <x:v>0.2522562208924056</x:v>
      </x:c>
      <x:c r="D8" t="n">
        <x:f>D7*(1-'01_SUPUESTOS'!Q2)+'01_SUPUESTOS'!P2</x:f>
        <x:v>0</x:v>
      </x:c>
      <x:c r="E8" t="n">
        <x:f>SUM(B8:D8)</x:f>
        <x:v>1.1982170492389268</x:v>
      </x:c>
      <x:c r="F8" t="n">
        <x:f>B8*'01_SUPUESTOS'!R2</x:f>
        <x:v>66.21725798425648</x:v>
      </x:c>
      <x:c r="G8" t="n">
        <x:f>C8*'01_SUPUESTOS'!S2</x:f>
        <x:v>65.58661743202546</x:v>
      </x:c>
      <x:c r="H8" t="n">
        <x:f>D8*'01_SUPUESTOS'!T2</x:f>
        <x:v>0</x:v>
      </x:c>
      <x:c r="I8" t="n">
        <x:f>SUM(F8:H8)</x:f>
        <x:v>131.80387541628193</x:v>
      </x:c>
      <x:c r="J8" t="n">
        <x:f>B8*'01_SUPUESTOS'!B2+C8*'01_SUPUESTOS'!C2+D8*'01_SUPUESTOS'!D2</x:f>
        <x:v>655.8661743202547</x:v>
      </x:c>
      <x:c r="K8" t="n">
        <x:f>MAX(F8-B8*'01_SUPUESTOS'!E2,0)*'01_SUPUESTOS'!H2+MAX(G8-C8*'01_SUPUESTOS'!F2,0)*'01_SUPUESTOS'!I2+MAX(H8-D8*'01_SUPUESTOS'!G2,0)*'01_SUPUESTOS'!J2</x:f>
        <x:v>0</x:v>
      </x:c>
      <x:c r="L8" t="n">
        <x:f>J8+K8</x:f>
        <x:v>655.8661743202547</x:v>
      </x:c>
      <x:c r="M8" t="n">
        <x:f>I8*'01_SUPUESTOS'!U2</x:f>
        <x:v>2.6360775083256387</x:v>
      </x:c>
      <x:c r="N8" t="n">
        <x:f>E8*'01_SUPUESTOS'!W2</x:f>
        <x:v>107.83953443150341</x:v>
      </x:c>
      <x:c r="O8" t="n">
        <x:f>M8+N8</x:f>
        <x:v>110.47561193982905</x:v>
      </x:c>
      <x:c r="P8" t="n">
        <x:f>SUM('01_SUPUESTOS'!V2,'01_SUPUESTOS'!X2:AB2)</x:f>
        <x:v>5063.08</x:v>
      </x:c>
      <x:c r="Q8" t="n">
        <x:f>L8-O8-P8</x:f>
        <x:v>-4517.689437619574</x:v>
      </x:c>
      <x:c r="R8" t="n">
        <x:f>0</x:f>
        <x:v>0</x:v>
      </x:c>
      <x:c r="S8" t="n">
        <x:f>Q8-R8</x:f>
        <x:v>-4517.689437619574</x:v>
      </x:c>
      <x:c r="T8" t="n">
        <x:f>T7+S8</x:f>
        <x:v>-42682.356934203155</x:v>
      </x:c>
      <x:c r="U8" t="n">
        <x:f>S8/(1+(1+'01_SUPUESTOS'!AF2)^(1/12)-1)^A8</x:f>
        <x:v>-3792.1747398449065</x:v>
      </x:c>
      <x:c r="V8" t="n">
        <x:f>IF(Q8&gt;=0,1,0)</x:f>
        <x:v>0</x:v>
      </x:c>
      <x:c r="W8" t="n">
        <x:f>IF(T8&gt;=0,1,0)</x:f>
        <x:v>0</x:v>
      </x:c>
    </x:row>
    <x:row r="9">
      <x:c r="A9" t="n">
        <x:f>8</x:f>
        <x:v>8</x:v>
      </x:c>
      <x:c r="B9" t="n">
        <x:f>B8*(1-'01_SUPUESTOS'!Q2)+'01_SUPUESTOS'!N2</x:f>
        <x:v>1.0628521993543927</x:v>
      </x:c>
      <x:c r="C9" t="n">
        <x:f>C8*(1-'01_SUPUESTOS'!Q2)+'01_SUPUESTOS'!O2</x:f>
        <x:v>0.2834272531611714</x:v>
      </x:c>
      <x:c r="D9" t="n">
        <x:f>D8*(1-'01_SUPUESTOS'!Q2)+'01_SUPUESTOS'!P2</x:f>
        <x:v>0</x:v>
      </x:c>
      <x:c r="E9" t="n">
        <x:f>SUM(B9:D9)</x:f>
        <x:v>1.3462794525155641</x:v>
      </x:c>
      <x:c r="F9" t="n">
        <x:f>B9*'01_SUPUESTOS'!R2</x:f>
        <x:v>74.39965395480749</x:v>
      </x:c>
      <x:c r="G9" t="n">
        <x:f>C9*'01_SUPUESTOS'!S2</x:f>
        <x:v>73.69108582190457</x:v>
      </x:c>
      <x:c r="H9" t="n">
        <x:f>D9*'01_SUPUESTOS'!T2</x:f>
        <x:v>0</x:v>
      </x:c>
      <x:c r="I9" t="n">
        <x:f>SUM(F9:H9)</x:f>
        <x:v>148.09073977671204</x:v>
      </x:c>
      <x:c r="J9" t="n">
        <x:f>B9*'01_SUPUESTOS'!B2+C9*'01_SUPUESTOS'!C2+D9*'01_SUPUESTOS'!D2</x:f>
        <x:v>736.9108582190456</x:v>
      </x:c>
      <x:c r="K9" t="n">
        <x:f>MAX(F9-B9*'01_SUPUESTOS'!E2,0)*'01_SUPUESTOS'!H2+MAX(G9-C9*'01_SUPUESTOS'!F2,0)*'01_SUPUESTOS'!I2+MAX(H9-D9*'01_SUPUESTOS'!G2,0)*'01_SUPUESTOS'!J2</x:f>
        <x:v>0</x:v>
      </x:c>
      <x:c r="L9" t="n">
        <x:f>J9+K9</x:f>
        <x:v>736.9108582190456</x:v>
      </x:c>
      <x:c r="M9" t="n">
        <x:f>I9*'01_SUPUESTOS'!U2</x:f>
        <x:v>2.961814795534241</x:v>
      </x:c>
      <x:c r="N9" t="n">
        <x:f>E9*'01_SUPUESTOS'!W2</x:f>
        <x:v>121.16515072640077</x:v>
      </x:c>
      <x:c r="O9" t="n">
        <x:f>M9+N9</x:f>
        <x:v>124.126965521935</x:v>
      </x:c>
      <x:c r="P9" t="n">
        <x:f>SUM('01_SUPUESTOS'!V2,'01_SUPUESTOS'!X2:AB2)</x:f>
        <x:v>5063.08</x:v>
      </x:c>
      <x:c r="Q9" t="n">
        <x:f>L9-O9-P9</x:f>
        <x:v>-4450.296107302889</x:v>
      </x:c>
      <x:c r="R9" t="n">
        <x:f>0</x:f>
        <x:v>0</x:v>
      </x:c>
      <x:c r="S9" t="n">
        <x:f>Q9-R9</x:f>
        <x:v>-4450.296107302889</x:v>
      </x:c>
      <x:c r="T9" t="n">
        <x:f>T8+S9</x:f>
        <x:v>-47132.65304150604</x:v>
      </x:c>
      <x:c r="U9" t="n">
        <x:f>S9/(1+(1+'01_SUPUESTOS'!AF2)^(1/12)-1)^A9</x:f>
        <x:v>-3643.3402305734603</x:v>
      </x:c>
      <x:c r="V9" t="n">
        <x:f>IF(Q9&gt;=0,1,0)</x:f>
        <x:v>0</x:v>
      </x:c>
      <x:c r="W9" t="n">
        <x:f>IF(T9&gt;=0,1,0)</x:f>
        <x:v>0</x:v>
      </x:c>
    </x:row>
    <x:row r="10">
      <x:c r="A10" t="n">
        <x:f>9</x:f>
        <x:v>9</x:v>
      </x:c>
      <x:c r="B10" t="n">
        <x:f>B9*(1-'01_SUPUESTOS'!Q2)+'01_SUPUESTOS'!N2</x:f>
        <x:v>1.1756523723769887</x:v>
      </x:c>
      <x:c r="C10" t="n">
        <x:f>C9*(1-'01_SUPUESTOS'!Q2)+'01_SUPUESTOS'!O2</x:f>
        <x:v>0.3135072993005304</x:v>
      </x:c>
      <x:c r="D10" t="n">
        <x:f>D9*(1-'01_SUPUESTOS'!Q2)+'01_SUPUESTOS'!P2</x:f>
        <x:v>0</x:v>
      </x:c>
      <x:c r="E10" t="n">
        <x:f>SUM(B10:D10)</x:f>
        <x:v>1.489159671677519</x:v>
      </x:c>
      <x:c r="F10" t="n">
        <x:f>B10*'01_SUPUESTOS'!R2</x:f>
        <x:v>82.29566606638922</x:v>
      </x:c>
      <x:c r="G10" t="n">
        <x:f>C10*'01_SUPUESTOS'!S2</x:f>
        <x:v>81.5118978181379</x:v>
      </x:c>
      <x:c r="H10" t="n">
        <x:f>D10*'01_SUPUESTOS'!T2</x:f>
        <x:v>0</x:v>
      </x:c>
      <x:c r="I10" t="n">
        <x:f>SUM(F10:H10)</x:f>
        <x:v>163.8075638845271</x:v>
      </x:c>
      <x:c r="J10" t="n">
        <x:f>B10*'01_SUPUESTOS'!B2+C10*'01_SUPUESTOS'!C2+D10*'01_SUPUESTOS'!D2</x:f>
        <x:v>815.1189781813789</x:v>
      </x:c>
      <x:c r="K10" t="n">
        <x:f>MAX(F10-B10*'01_SUPUESTOS'!E2,0)*'01_SUPUESTOS'!H2+MAX(G10-C10*'01_SUPUESTOS'!F2,0)*'01_SUPUESTOS'!I2+MAX(H10-D10*'01_SUPUESTOS'!G2,0)*'01_SUPUESTOS'!J2</x:f>
        <x:v>0</x:v>
      </x:c>
      <x:c r="L10" t="n">
        <x:f>J10+K10</x:f>
        <x:v>815.1189781813789</x:v>
      </x:c>
      <x:c r="M10" t="n">
        <x:f>I10*'01_SUPUESTOS'!U2</x:f>
        <x:v>3.276151277690542</x:v>
      </x:c>
      <x:c r="N10" t="n">
        <x:f>E10*'01_SUPUESTOS'!W2</x:f>
        <x:v>134.0243704509767</x:v>
      </x:c>
      <x:c r="O10" t="n">
        <x:f>M10+N10</x:f>
        <x:v>137.30052172866723</x:v>
      </x:c>
      <x:c r="P10" t="n">
        <x:f>SUM('01_SUPUESTOS'!V2,'01_SUPUESTOS'!X2:AB2)</x:f>
        <x:v>5063.08</x:v>
      </x:c>
      <x:c r="Q10" t="n">
        <x:f>L10-O10-P10</x:f>
        <x:v>-4385.261543547288</x:v>
      </x:c>
      <x:c r="R10" t="n">
        <x:f>0</x:f>
        <x:v>0</x:v>
      </x:c>
      <x:c r="S10" t="n">
        <x:f>Q10-R10</x:f>
        <x:v>-4385.261543547288</x:v>
      </x:c>
      <x:c r="T10" t="n">
        <x:f>T9+S10</x:f>
        <x:v>-51517.91458505333</x:v>
      </x:c>
      <x:c r="U10" t="n">
        <x:f>S10/(1+(1+'01_SUPUESTOS'!AF2)^(1/12)-1)^A10</x:f>
        <x:v>-3501.427788066945</x:v>
      </x:c>
      <x:c r="V10" t="n">
        <x:f>IF(Q10&gt;=0,1,0)</x:f>
        <x:v>0</x:v>
      </x:c>
      <x:c r="W10" t="n">
        <x:f>IF(T10&gt;=0,1,0)</x:f>
        <x:v>0</x:v>
      </x:c>
    </x:row>
    <x:row r="11">
      <x:c r="A11" t="n">
        <x:f>10</x:f>
        <x:v>10</x:v>
      </x:c>
      <x:c r="B11" t="n">
        <x:f>B10*(1-'01_SUPUESTOS'!Q2)+'01_SUPUESTOS'!N2</x:f>
        <x:v>1.284504539343794</x:v>
      </x:c>
      <x:c r="C11" t="n">
        <x:f>C10*(1-'01_SUPUESTOS'!Q2)+'01_SUPUESTOS'!O2</x:f>
        <x:v>0.3425345438250118</x:v>
      </x:c>
      <x:c r="D11" t="n">
        <x:f>D10*(1-'01_SUPUESTOS'!Q2)+'01_SUPUESTOS'!P2</x:f>
        <x:v>0</x:v>
      </x:c>
      <x:c r="E11" t="n">
        <x:f>SUM(B11:D11)</x:f>
        <x:v>1.6270390831688057</x:v>
      </x:c>
      <x:c r="F11" t="n">
        <x:f>B11*'01_SUPUESTOS'!R2</x:f>
        <x:v>89.91531775406557</x:v>
      </x:c>
      <x:c r="G11" t="n">
        <x:f>C11*'01_SUPUESTOS'!S2</x:f>
        <x:v>89.05898139450306</x:v>
      </x:c>
      <x:c r="H11" t="n">
        <x:f>D11*'01_SUPUESTOS'!T2</x:f>
        <x:v>0</x:v>
      </x:c>
      <x:c r="I11" t="n">
        <x:f>SUM(F11:H11)</x:f>
        <x:v>178.97429914856863</x:v>
      </x:c>
      <x:c r="J11" t="n">
        <x:f>B11*'01_SUPUESTOS'!B2+C11*'01_SUPUESTOS'!C2+D11*'01_SUPUESTOS'!D2</x:f>
        <x:v>890.5898139450305</x:v>
      </x:c>
      <x:c r="K11" t="n">
        <x:f>MAX(F11-B11*'01_SUPUESTOS'!E2,0)*'01_SUPUESTOS'!H2+MAX(G11-C11*'01_SUPUESTOS'!F2,0)*'01_SUPUESTOS'!I2+MAX(H11-D11*'01_SUPUESTOS'!G2,0)*'01_SUPUESTOS'!J2</x:f>
        <x:v>0</x:v>
      </x:c>
      <x:c r="L11" t="n">
        <x:f>J11+K11</x:f>
        <x:v>890.5898139450305</x:v>
      </x:c>
      <x:c r="M11" t="n">
        <x:f>I11*'01_SUPUESTOS'!U2</x:f>
        <x:v>3.5794859829713728</x:v>
      </x:c>
      <x:c r="N11" t="n">
        <x:f>E11*'01_SUPUESTOS'!W2</x:f>
        <x:v>146.4335174851925</x:v>
      </x:c>
      <x:c r="O11" t="n">
        <x:f>M11+N11</x:f>
        <x:v>150.01300346816387</x:v>
      </x:c>
      <x:c r="P11" t="n">
        <x:f>SUM('01_SUPUESTOS'!V2,'01_SUPUESTOS'!X2:AB2)</x:f>
        <x:v>5063.08</x:v>
      </x:c>
      <x:c r="Q11" t="n">
        <x:f>L11-O11-P11</x:f>
        <x:v>-4322.503189523133</x:v>
      </x:c>
      <x:c r="R11" t="n">
        <x:f>0</x:f>
        <x:v>0</x:v>
      </x:c>
      <x:c r="S11" t="n">
        <x:f>Q11-R11</x:f>
        <x:v>-4322.503189523133</x:v>
      </x:c>
      <x:c r="T11" t="n">
        <x:f>T10+S11</x:f>
        <x:v>-55840.41777457646</x:v>
      </x:c>
      <x:c r="U11" t="n">
        <x:f>S11/(1+(1+'01_SUPUESTOS'!AF2)^(1/12)-1)^A11</x:f>
        <x:v>-3366.0754676419897</x:v>
      </x:c>
      <x:c r="V11" t="n">
        <x:f>IF(Q11&gt;=0,1,0)</x:f>
        <x:v>0</x:v>
      </x:c>
      <x:c r="W11" t="n">
        <x:f>IF(T11&gt;=0,1,0)</x:f>
        <x:v>0</x:v>
      </x:c>
    </x:row>
    <x:row r="12">
      <x:c r="A12" t="n">
        <x:f>11</x:f>
        <x:v>11</x:v>
      </x:c>
      <x:c r="B12" t="n">
        <x:f>B11*(1-'01_SUPUESTOS'!Q2)+'01_SUPUESTOS'!N2</x:f>
        <x:v>1.389546880466761</x:v>
      </x:c>
      <x:c r="C12" t="n">
        <x:f>C11*(1-'01_SUPUESTOS'!Q2)+'01_SUPUESTOS'!O2</x:f>
        <x:v>0.37054583479113634</x:v>
      </x:c>
      <x:c r="D12" t="n">
        <x:f>D11*(1-'01_SUPUESTOS'!Q2)+'01_SUPUESTOS'!P2</x:f>
        <x:v>0</x:v>
      </x:c>
      <x:c r="E12" t="n">
        <x:f>SUM(B12:D12)</x:f>
        <x:v>1.7600927152578973</x:v>
      </x:c>
      <x:c r="F12" t="n">
        <x:f>B12*'01_SUPUESTOS'!R2</x:f>
        <x:v>97.26828163267326</x:v>
      </x:c>
      <x:c r="G12" t="n">
        <x:f>C12*'01_SUPUESTOS'!S2</x:f>
        <x:v>96.34191704569545</x:v>
      </x:c>
      <x:c r="H12" t="n">
        <x:f>D12*'01_SUPUESTOS'!T2</x:f>
        <x:v>0</x:v>
      </x:c>
      <x:c r="I12" t="n">
        <x:f>SUM(F12:H12)</x:f>
        <x:v>193.6101986783687</x:v>
      </x:c>
      <x:c r="J12" t="n">
        <x:f>B12*'01_SUPUESTOS'!B2+C12*'01_SUPUESTOS'!C2+D12*'01_SUPUESTOS'!D2</x:f>
        <x:v>963.4191704569544</x:v>
      </x:c>
      <x:c r="K12" t="n">
        <x:f>MAX(F12-B12*'01_SUPUESTOS'!E2,0)*'01_SUPUESTOS'!H2+MAX(G12-C12*'01_SUPUESTOS'!F2,0)*'01_SUPUESTOS'!I2+MAX(H12-D12*'01_SUPUESTOS'!G2,0)*'01_SUPUESTOS'!J2</x:f>
        <x:v>0</x:v>
      </x:c>
      <x:c r="L12" t="n">
        <x:f>J12+K12</x:f>
        <x:v>963.4191704569544</x:v>
      </x:c>
      <x:c r="M12" t="n">
        <x:f>I12*'01_SUPUESTOS'!U2</x:f>
        <x:v>3.872203973567374</x:v>
      </x:c>
      <x:c r="N12" t="n">
        <x:f>E12*'01_SUPUESTOS'!W2</x:f>
        <x:v>158.40834437321075</x:v>
      </x:c>
      <x:c r="O12" t="n">
        <x:f>M12+N12</x:f>
        <x:v>162.28054834677812</x:v>
      </x:c>
      <x:c r="P12" t="n">
        <x:f>SUM('01_SUPUESTOS'!V2,'01_SUPUESTOS'!X2:AB2)</x:f>
        <x:v>5063.08</x:v>
      </x:c>
      <x:c r="Q12" t="n">
        <x:f>L12-O12-P12</x:f>
        <x:v>-4261.941377889823</x:v>
      </x:c>
      <x:c r="R12" t="n">
        <x:f>0</x:f>
        <x:v>0</x:v>
      </x:c>
      <x:c r="S12" t="n">
        <x:f>Q12-R12</x:f>
        <x:v>-4261.941377889823</x:v>
      </x:c>
      <x:c r="T12" t="n">
        <x:f>T11+S12</x:f>
        <x:v>-60102.359152466284</x:v>
      </x:c>
      <x:c r="U12" t="n">
        <x:f>S12/(1+(1+'01_SUPUESTOS'!AF2)^(1/12)-1)^A12</x:f>
        <x:v>-3236.941500246687</x:v>
      </x:c>
      <x:c r="V12" t="n">
        <x:f>IF(Q12&gt;=0,1,0)</x:f>
        <x:v>0</x:v>
      </x:c>
      <x:c r="W12" t="n">
        <x:f>IF(T12&gt;=0,1,0)</x:f>
        <x:v>0</x:v>
      </x:c>
    </x:row>
    <x:row r="13">
      <x:c r="A13" t="n">
        <x:f>12</x:f>
        <x:v>12</x:v>
      </x:c>
      <x:c r="B13" t="n">
        <x:f>B12*(1-'01_SUPUESTOS'!Q2)+'01_SUPUESTOS'!N2</x:f>
        <x:v>1.4909127396504243</x:v>
      </x:c>
      <x:c r="C13" t="n">
        <x:f>C12*(1-'01_SUPUESTOS'!Q2)+'01_SUPUESTOS'!O2</x:f>
        <x:v>0.39757673057344656</x:v>
      </x:c>
      <x:c r="D13" t="n">
        <x:f>D12*(1-'01_SUPUESTOS'!Q2)+'01_SUPUESTOS'!P2</x:f>
        <x:v>0</x:v>
      </x:c>
      <x:c r="E13" t="n">
        <x:f>SUM(B13:D13)</x:f>
        <x:v>1.8884894702238708</x:v>
      </x:c>
      <x:c r="F13" t="n">
        <x:f>B13*'01_SUPUESTOS'!R2</x:f>
        <x:v>104.3638917755297</x:v>
      </x:c>
      <x:c r="G13" t="n">
        <x:f>C13*'01_SUPUESTOS'!S2</x:f>
        <x:v>103.36994994909611</x:v>
      </x:c>
      <x:c r="H13" t="n">
        <x:f>D13*'01_SUPUESTOS'!T2</x:f>
        <x:v>0</x:v>
      </x:c>
      <x:c r="I13" t="n">
        <x:f>SUM(F13:H13)</x:f>
        <x:v>207.7338417246258</x:v>
      </x:c>
      <x:c r="J13" t="n">
        <x:f>B13*'01_SUPUESTOS'!B2+C13*'01_SUPUESTOS'!C2+D13*'01_SUPUESTOS'!D2</x:f>
        <x:v>1033.699499490961</x:v>
      </x:c>
      <x:c r="K13" t="n">
        <x:f>MAX(F13-B13*'01_SUPUESTOS'!E2,0)*'01_SUPUESTOS'!H2+MAX(G13-C13*'01_SUPUESTOS'!F2,0)*'01_SUPUESTOS'!I2+MAX(H13-D13*'01_SUPUESTOS'!G2,0)*'01_SUPUESTOS'!J2</x:f>
        <x:v>0</x:v>
      </x:c>
      <x:c r="L13" t="n">
        <x:f>J13+K13</x:f>
        <x:v>1033.699499490961</x:v>
      </x:c>
      <x:c r="M13" t="n">
        <x:f>I13*'01_SUPUESTOS'!U2</x:f>
        <x:v>4.154676834492516</x:v>
      </x:c>
      <x:c r="N13" t="n">
        <x:f>E13*'01_SUPUESTOS'!W2</x:f>
        <x:v>169.96405232014837</x:v>
      </x:c>
      <x:c r="O13" t="n">
        <x:f>M13+N13</x:f>
        <x:v>174.11872915464087</x:v>
      </x:c>
      <x:c r="P13" t="n">
        <x:f>SUM('01_SUPUESTOS'!V2,'01_SUPUESTOS'!X2:AB2)</x:f>
        <x:v>5063.08</x:v>
      </x:c>
      <x:c r="Q13" t="n">
        <x:f>L13-O13-P13</x:f>
        <x:v>-4203.49922966368</x:v>
      </x:c>
      <x:c r="R13" t="n">
        <x:f>0</x:f>
        <x:v>0</x:v>
      </x:c>
      <x:c r="S13" t="n">
        <x:f>Q13-R13</x:f>
        <x:v>-4203.49922966368</x:v>
      </x:c>
      <x:c r="T13" t="n">
        <x:f>T12+S13</x:f>
        <x:v>-64305.85838212996</x:v>
      </x:c>
      <x:c r="U13" t="n">
        <x:f>S13/(1+(1+'01_SUPUESTOS'!AF2)^(1/12)-1)^A13</x:f>
        <x:v>-3113.7031330842156</x:v>
      </x:c>
      <x:c r="V13" t="n">
        <x:f>IF(Q13&gt;=0,1,0)</x:f>
        <x:v>0</x:v>
      </x:c>
      <x:c r="W13" t="n">
        <x:f>IF(T13&gt;=0,1,0)</x:f>
        <x:v>0</x:v>
      </x:c>
    </x:row>
    <x:row r="14">
      <x:c r="A14" t="n">
        <x:f>13</x:f>
        <x:v>13</x:v>
      </x:c>
      <x:c r="B14" t="n">
        <x:f>B13*(1-'01_SUPUESTOS'!Q2)+'01_SUPUESTOS'!N2</x:f>
        <x:v>1.5887307937626594</x:v>
      </x:c>
      <x:c r="C14" t="n">
        <x:f>C13*(1-'01_SUPUESTOS'!Q2)+'01_SUPUESTOS'!O2</x:f>
        <x:v>0.4236615450033759</x:v>
      </x:c>
      <x:c r="D14" t="n">
        <x:f>D13*(1-'01_SUPUESTOS'!Q2)+'01_SUPUESTOS'!P2</x:f>
        <x:v>0</x:v>
      </x:c>
      <x:c r="E14" t="n">
        <x:f>SUM(B14:D14)</x:f>
        <x:v>2.0123923387660354</x:v>
      </x:c>
      <x:c r="F14" t="n">
        <x:f>B14*'01_SUPUESTOS'!R2</x:f>
        <x:v>111.21115556338616</x:v>
      </x:c>
      <x:c r="G14" t="n">
        <x:f>C14*'01_SUPUESTOS'!S2</x:f>
        <x:v>110.15200170087773</x:v>
      </x:c>
      <x:c r="H14" t="n">
        <x:f>D14*'01_SUPUESTOS'!T2</x:f>
        <x:v>0</x:v>
      </x:c>
      <x:c r="I14" t="n">
        <x:f>SUM(F14:H14)</x:f>
        <x:v>221.3631572642639</x:v>
      </x:c>
      <x:c r="J14" t="n">
        <x:f>B14*'01_SUPUESTOS'!B2+C14*'01_SUPUESTOS'!C2+D14*'01_SUPUESTOS'!D2</x:f>
        <x:v>1101.5200170087771</x:v>
      </x:c>
      <x:c r="K14" t="n">
        <x:f>MAX(F14-B14*'01_SUPUESTOS'!E2,0)*'01_SUPUESTOS'!H2+MAX(G14-C14*'01_SUPUESTOS'!F2,0)*'01_SUPUESTOS'!I2+MAX(H14-D14*'01_SUPUESTOS'!G2,0)*'01_SUPUESTOS'!J2</x:f>
        <x:v>0</x:v>
      </x:c>
      <x:c r="L14" t="n">
        <x:f>J14+K14</x:f>
        <x:v>1101.5200170087771</x:v>
      </x:c>
      <x:c r="M14" t="n">
        <x:f>I14*'01_SUPUESTOS'!U2</x:f>
        <x:v>4.427263145285278</x:v>
      </x:c>
      <x:c r="N14" t="n">
        <x:f>E14*'01_SUPUESTOS'!W2</x:f>
        <x:v>181.11531048894318</x:v>
      </x:c>
      <x:c r="O14" t="n">
        <x:f>M14+N14</x:f>
        <x:v>185.54257363422846</x:v>
      </x:c>
      <x:c r="P14" t="n">
        <x:f>SUM('01_SUPUESTOS'!V2,'01_SUPUESTOS'!X2:AB2)</x:f>
        <x:v>5063.08</x:v>
      </x:c>
      <x:c r="Q14" t="n">
        <x:f>L14-O14-P14</x:f>
        <x:v>-4147.102556625451</x:v>
      </x:c>
      <x:c r="R14" t="n">
        <x:f>0</x:f>
        <x:v>0</x:v>
      </x:c>
      <x:c r="S14" t="n">
        <x:f>Q14-R14</x:f>
        <x:v>-4147.102556625451</x:v>
      </x:c>
      <x:c r="T14" t="n">
        <x:f>T13+S14</x:f>
        <x:v>-68452.96093875541</x:v>
      </x:c>
      <x:c r="U14" t="n">
        <x:f>S14/(1+(1+'01_SUPUESTOS'!AF2)^(1/12)-1)^A14</x:f>
        <x:v>-2996.0555377646947</x:v>
      </x:c>
      <x:c r="V14" t="n">
        <x:f>IF(Q14&gt;=0,1,0)</x:f>
        <x:v>0</x:v>
      </x:c>
      <x:c r="W14" t="n">
        <x:f>IF(T14&gt;=0,1,0)</x:f>
        <x:v>0</x:v>
      </x:c>
    </x:row>
    <x:row r="15">
      <x:c r="A15" t="n">
        <x:f>14</x:f>
        <x:v>14</x:v>
      </x:c>
      <x:c r="B15" t="n">
        <x:f>B14*(1-'01_SUPUESTOS'!Q2)+'01_SUPUESTOS'!N2</x:f>
        <x:v>1.6831252159809662</x:v>
      </x:c>
      <x:c r="C15" t="n">
        <x:f>C14*(1-'01_SUPUESTOS'!Q2)+'01_SUPUESTOS'!O2</x:f>
        <x:v>0.4488333909282577</x:v>
      </x:c>
      <x:c r="D15" t="n">
        <x:f>D14*(1-'01_SUPUESTOS'!Q2)+'01_SUPUESTOS'!P2</x:f>
        <x:v>0</x:v>
      </x:c>
      <x:c r="E15" t="n">
        <x:f>SUM(B15:D15)</x:f>
        <x:v>2.131958606909224</x:v>
      </x:c>
      <x:c r="F15" t="n">
        <x:f>B15*'01_SUPUESTOS'!R2</x:f>
        <x:v>117.81876511866763</x:v>
      </x:c>
      <x:c r="G15" t="n">
        <x:f>C15*'01_SUPUESTOS'!S2</x:f>
        <x:v>116.696681641347</x:v>
      </x:c>
      <x:c r="H15" t="n">
        <x:f>D15*'01_SUPUESTOS'!T2</x:f>
        <x:v>0</x:v>
      </x:c>
      <x:c r="I15" t="n">
        <x:f>SUM(F15:H15)</x:f>
        <x:v>234.51544676001464</x:v>
      </x:c>
      <x:c r="J15" t="n">
        <x:f>B15*'01_SUPUESTOS'!B2+C15*'01_SUPUESTOS'!C2+D15*'01_SUPUESTOS'!D2</x:f>
        <x:v>1166.96681641347</x:v>
      </x:c>
      <x:c r="K15" t="n">
        <x:f>MAX(F15-B15*'01_SUPUESTOS'!E2,0)*'01_SUPUESTOS'!H2+MAX(G15-C15*'01_SUPUESTOS'!F2,0)*'01_SUPUESTOS'!I2+MAX(H15-D15*'01_SUPUESTOS'!G2,0)*'01_SUPUESTOS'!J2</x:f>
        <x:v>0</x:v>
      </x:c>
      <x:c r="L15" t="n">
        <x:f>J15+K15</x:f>
        <x:v>1166.96681641347</x:v>
      </x:c>
      <x:c r="M15" t="n">
        <x:f>I15*'01_SUPUESTOS'!U2</x:f>
        <x:v>4.690308935200293</x:v>
      </x:c>
      <x:c r="N15" t="n">
        <x:f>E15*'01_SUPUESTOS'!W2</x:f>
        <x:v>191.87627462183013</x:v>
      </x:c>
      <x:c r="O15" t="n">
        <x:f>M15+N15</x:f>
        <x:v>196.56658355703044</x:v>
      </x:c>
      <x:c r="P15" t="n">
        <x:f>SUM('01_SUPUESTOS'!V2,'01_SUPUESTOS'!X2:AB2)</x:f>
        <x:v>5063.08</x:v>
      </x:c>
      <x:c r="Q15" t="n">
        <x:f>L15-O15-P15</x:f>
        <x:v>-4092.67976714356</x:v>
      </x:c>
      <x:c r="R15" t="n">
        <x:f>0</x:f>
        <x:v>0</x:v>
      </x:c>
      <x:c r="S15" t="n">
        <x:f>Q15-R15</x:f>
        <x:v>-4092.67976714356</x:v>
      </x:c>
      <x:c r="T15" t="n">
        <x:f>T14+S15</x:f>
        <x:v>-72545.64070589897</x:v>
      </x:c>
      <x:c r="U15" t="n">
        <x:f>S15/(1+(1+'01_SUPUESTOS'!AF2)^(1/12)-1)^A15</x:f>
        <x:v>-2883.710782029203</x:v>
      </x:c>
      <x:c r="V15" t="n">
        <x:f>IF(Q15&gt;=0,1,0)</x:f>
        <x:v>0</x:v>
      </x:c>
      <x:c r="W15" t="n">
        <x:f>IF(T15&gt;=0,1,0)</x:f>
        <x:v>0</x:v>
      </x:c>
    </x:row>
    <x:row r="16">
      <x:c r="A16" t="n">
        <x:f>15</x:f>
        <x:v>15</x:v>
      </x:c>
      <x:c r="B16" t="n">
        <x:f>B15*(1-'01_SUPUESTOS'!Q2)+'01_SUPUESTOS'!N2</x:f>
        <x:v>1.7742158334216322</x:v>
      </x:c>
      <x:c r="C16" t="n">
        <x:f>C15*(1-'01_SUPUESTOS'!Q2)+'01_SUPUESTOS'!O2</x:f>
        <x:v>0.4731242222457686</x:v>
      </x:c>
      <x:c r="D16" t="n">
        <x:f>D15*(1-'01_SUPUESTOS'!Q2)+'01_SUPUESTOS'!P2</x:f>
        <x:v>0</x:v>
      </x:c>
      <x:c r="E16" t="n">
        <x:f>SUM(B16:D16)</x:f>
        <x:v>2.247340055667401</x:v>
      </x:c>
      <x:c r="F16" t="n">
        <x:f>B16*'01_SUPUESTOS'!R2</x:f>
        <x:v>124.19510833951426</x:v>
      </x:c>
      <x:c r="G16" t="n">
        <x:f>C16*'01_SUPUESTOS'!S2</x:f>
        <x:v>123.01229778389984</x:v>
      </x:c>
      <x:c r="H16" t="n">
        <x:f>D16*'01_SUPUESTOS'!T2</x:f>
        <x:v>0</x:v>
      </x:c>
      <x:c r="I16" t="n">
        <x:f>SUM(F16:H16)</x:f>
        <x:v>247.2074061234141</x:v>
      </x:c>
      <x:c r="J16" t="n">
        <x:f>B16*'01_SUPUESTOS'!B2+C16*'01_SUPUESTOS'!C2+D16*'01_SUPUESTOS'!D2</x:f>
        <x:v>1230.1229778389984</x:v>
      </x:c>
      <x:c r="K16" t="n">
        <x:f>MAX(F16-B16*'01_SUPUESTOS'!E2,0)*'01_SUPUESTOS'!H2+MAX(G16-C16*'01_SUPUESTOS'!F2,0)*'01_SUPUESTOS'!I2+MAX(H16-D16*'01_SUPUESTOS'!G2,0)*'01_SUPUESTOS'!J2</x:f>
        <x:v>0</x:v>
      </x:c>
      <x:c r="L16" t="n">
        <x:f>J16+K16</x:f>
        <x:v>1230.1229778389984</x:v>
      </x:c>
      <x:c r="M16" t="n">
        <x:f>I16*'01_SUPUESTOS'!U2</x:f>
        <x:v>4.944148122468282</x:v>
      </x:c>
      <x:c r="N16" t="n">
        <x:f>E16*'01_SUPUESTOS'!W2</x:f>
        <x:v>202.26060501006606</x:v>
      </x:c>
      <x:c r="O16" t="n">
        <x:f>M16+N16</x:f>
        <x:v>207.20475313253434</x:v>
      </x:c>
      <x:c r="P16" t="n">
        <x:f>SUM('01_SUPUESTOS'!V2,'01_SUPUESTOS'!X2:AB2)</x:f>
        <x:v>5063.08</x:v>
      </x:c>
      <x:c r="Q16" t="n">
        <x:f>L16-O16-P16</x:f>
        <x:v>-4040.161775293536</x:v>
      </x:c>
      <x:c r="R16" t="n">
        <x:f>0</x:f>
        <x:v>0</x:v>
      </x:c>
      <x:c r="S16" t="n">
        <x:f>Q16-R16</x:f>
        <x:v>-4040.161775293536</x:v>
      </x:c>
      <x:c r="T16" t="n">
        <x:f>T15+S16</x:f>
        <x:v>-76585.80248119251</x:v>
      </x:c>
      <x:c r="U16" t="n">
        <x:f>S16/(1+(1+'01_SUPUESTOS'!AF2)^(1/12)-1)^A16</x:f>
        <x:v>-2776.39686132217</x:v>
      </x:c>
      <x:c r="V16" t="n">
        <x:f>IF(Q16&gt;=0,1,0)</x:f>
        <x:v>0</x:v>
      </x:c>
      <x:c r="W16" t="n">
        <x:f>IF(T16&gt;=0,1,0)</x:f>
        <x:v>0</x:v>
      </x:c>
    </x:row>
    <x:row r="17">
      <x:c r="A17" t="n">
        <x:f>16</x:f>
        <x:v>16</x:v>
      </x:c>
      <x:c r="B17" t="n">
        <x:f>B16*(1-'01_SUPUESTOS'!Q2)+'01_SUPUESTOS'!N2</x:f>
        <x:v>1.862118279251875</x:v>
      </x:c>
      <x:c r="C17" t="n">
        <x:f>C16*(1-'01_SUPUESTOS'!Q2)+'01_SUPUESTOS'!O2</x:f>
        <x:v>0.4965648744671667</x:v>
      </x:c>
      <x:c r="D17" t="n">
        <x:f>D16*(1-'01_SUPUESTOS'!Q2)+'01_SUPUESTOS'!P2</x:f>
        <x:v>0</x:v>
      </x:c>
      <x:c r="E17" t="n">
        <x:f>SUM(B17:D17)</x:f>
        <x:v>2.3586831537190416</x:v>
      </x:c>
      <x:c r="F17" t="n">
        <x:f>B17*'01_SUPUESTOS'!R2</x:f>
        <x:v>130.34827954763125</x:v>
      </x:c>
      <x:c r="G17" t="n">
        <x:f>C17*'01_SUPUESTOS'!S2</x:f>
        <x:v>129.10686736146334</x:v>
      </x:c>
      <x:c r="H17" t="n">
        <x:f>D17*'01_SUPUESTOS'!T2</x:f>
        <x:v>0</x:v>
      </x:c>
      <x:c r="I17" t="n">
        <x:f>SUM(F17:H17)</x:f>
        <x:v>259.4551469090946</x:v>
      </x:c>
      <x:c r="J17" t="n">
        <x:f>B17*'01_SUPUESTOS'!B2+C17*'01_SUPUESTOS'!C2+D17*'01_SUPUESTOS'!D2</x:f>
        <x:v>1291.0686736146333</x:v>
      </x:c>
      <x:c r="K17" t="n">
        <x:f>MAX(F17-B17*'01_SUPUESTOS'!E2,0)*'01_SUPUESTOS'!H2+MAX(G17-C17*'01_SUPUESTOS'!F2,0)*'01_SUPUESTOS'!I2+MAX(H17-D17*'01_SUPUESTOS'!G2,0)*'01_SUPUESTOS'!J2</x:f>
        <x:v>0</x:v>
      </x:c>
      <x:c r="L17" t="n">
        <x:f>J17+K17</x:f>
        <x:v>1291.0686736146333</x:v>
      </x:c>
      <x:c r="M17" t="n">
        <x:f>I17*'01_SUPUESTOS'!U2</x:f>
        <x:v>5.189102938181892</x:v>
      </x:c>
      <x:c r="N17" t="n">
        <x:f>E17*'01_SUPUESTOS'!W2</x:f>
        <x:v>212.28148383471375</x:v>
      </x:c>
      <x:c r="O17" t="n">
        <x:f>M17+N17</x:f>
        <x:v>217.47058677289564</x:v>
      </x:c>
      <x:c r="P17" t="n">
        <x:f>SUM('01_SUPUESTOS'!V2,'01_SUPUESTOS'!X2:AB2)</x:f>
        <x:v>5063.08</x:v>
      </x:c>
      <x:c r="Q17" t="n">
        <x:f>L17-O17-P17</x:f>
        <x:v>-3989.481913158262</x:v>
      </x:c>
      <x:c r="R17" t="n">
        <x:f>0</x:f>
        <x:v>0</x:v>
      </x:c>
      <x:c r="S17" t="n">
        <x:f>Q17-R17</x:f>
        <x:v>-3989.481913158262</x:v>
      </x:c>
      <x:c r="T17" t="n">
        <x:f>T16+S17</x:f>
        <x:v>-80575.28439435078</x:v>
      </x:c>
      <x:c r="U17" t="n">
        <x:f>S17/(1+(1+'01_SUPUESTOS'!AF2)^(1/12)-1)^A17</x:f>
        <x:v>-2673.8567867070556</x:v>
      </x:c>
      <x:c r="V17" t="n">
        <x:f>IF(Q17&gt;=0,1,0)</x:f>
        <x:v>0</x:v>
      </x:c>
      <x:c r="W17" t="n">
        <x:f>IF(T17&gt;=0,1,0)</x:f>
        <x:v>0</x:v>
      </x:c>
    </x:row>
    <x:row r="18">
      <x:c r="A18" t="n">
        <x:f>17</x:f>
        <x:v>17</x:v>
      </x:c>
      <x:c r="B18" t="n">
        <x:f>B17*(1-'01_SUPUESTOS'!Q2)+'01_SUPUESTOS'!N2</x:f>
        <x:v>1.946944139478059</x:v>
      </x:c>
      <x:c r="C18" t="n">
        <x:f>C17*(1-'01_SUPUESTOS'!Q2)+'01_SUPUESTOS'!O2</x:f>
        <x:v>0.5191851038608158</x:v>
      </x:c>
      <x:c r="D18" t="n">
        <x:f>D17*(1-'01_SUPUESTOS'!Q2)+'01_SUPUESTOS'!P2</x:f>
        <x:v>0</x:v>
      </x:c>
      <x:c r="E18" t="n">
        <x:f>SUM(B18:D18)</x:f>
        <x:v>2.466129243338875</x:v>
      </x:c>
      <x:c r="F18" t="n">
        <x:f>B18*'01_SUPUESTOS'!R2</x:f>
        <x:v>136.28608976346413</x:v>
      </x:c>
      <x:c r="G18" t="n">
        <x:f>C18*'01_SUPUESTOS'!S2</x:f>
        <x:v>134.9881270038121</x:v>
      </x:c>
      <x:c r="H18" t="n">
        <x:f>D18*'01_SUPUESTOS'!T2</x:f>
        <x:v>0</x:v>
      </x:c>
      <x:c r="I18" t="n">
        <x:f>SUM(F18:H18)</x:f>
        <x:v>271.27421676727624</x:v>
      </x:c>
      <x:c r="J18" t="n">
        <x:f>B18*'01_SUPUESTOS'!B2+C18*'01_SUPUESTOS'!C2+D18*'01_SUPUESTOS'!D2</x:f>
        <x:v>1349.881270038121</x:v>
      </x:c>
      <x:c r="K18" t="n">
        <x:f>MAX(F18-B18*'01_SUPUESTOS'!E2,0)*'01_SUPUESTOS'!H2+MAX(G18-C18*'01_SUPUESTOS'!F2,0)*'01_SUPUESTOS'!I2+MAX(H18-D18*'01_SUPUESTOS'!G2,0)*'01_SUPUESTOS'!J2</x:f>
        <x:v>0</x:v>
      </x:c>
      <x:c r="L18" t="n">
        <x:f>J18+K18</x:f>
        <x:v>1349.881270038121</x:v>
      </x:c>
      <x:c r="M18" t="n">
        <x:f>I18*'01_SUPUESTOS'!U2</x:f>
        <x:v>5.425484335345525</x:v>
      </x:c>
      <x:c r="N18" t="n">
        <x:f>E18*'01_SUPUESTOS'!W2</x:f>
        <x:v>221.95163190049874</x:v>
      </x:c>
      <x:c r="O18" t="n">
        <x:f>M18+N18</x:f>
        <x:v>227.37711623584426</x:v>
      </x:c>
      <x:c r="P18" t="n">
        <x:f>SUM('01_SUPUESTOS'!V2,'01_SUPUESTOS'!X2:AB2)</x:f>
        <x:v>5063.08</x:v>
      </x:c>
      <x:c r="Q18" t="n">
        <x:f>L18-O18-P18</x:f>
        <x:v>-3940.575846197723</x:v>
      </x:c>
      <x:c r="R18" t="n">
        <x:f>0</x:f>
        <x:v>0</x:v>
      </x:c>
      <x:c r="S18" t="n">
        <x:f>Q18-R18</x:f>
        <x:v>-3940.575846197723</x:v>
      </x:c>
      <x:c r="T18" t="n">
        <x:f>T17+S18</x:f>
        <x:v>-84515.8602405485</x:v>
      </x:c>
      <x:c r="U18" t="n">
        <x:f>S18/(1+(1+'01_SUPUESTOS'!AF2)^(1/12)-1)^A18</x:f>
        <x:v>-2575.84772582606</x:v>
      </x:c>
      <x:c r="V18" t="n">
        <x:f>IF(Q18&gt;=0,1,0)</x:f>
        <x:v>0</x:v>
      </x:c>
      <x:c r="W18" t="n">
        <x:f>IF(T18&gt;=0,1,0)</x:f>
        <x:v>0</x:v>
      </x:c>
    </x:row>
    <x:row r="19">
      <x:c r="A19" t="n">
        <x:f>18</x:f>
        <x:v>18</x:v>
      </x:c>
      <x:c r="B19" t="n">
        <x:f>B18*(1-'01_SUPUESTOS'!Q2)+'01_SUPUESTOS'!N2</x:f>
        <x:v>2.028801094596327</x:v>
      </x:c>
      <x:c r="C19" t="n">
        <x:f>C18*(1-'01_SUPUESTOS'!Q2)+'01_SUPUESTOS'!O2</x:f>
        <x:v>0.5410136252256873</x:v>
      </x:c>
      <x:c r="D19" t="n">
        <x:f>D18*(1-'01_SUPUESTOS'!Q2)+'01_SUPUESTOS'!P2</x:f>
        <x:v>0</x:v>
      </x:c>
      <x:c r="E19" t="n">
        <x:f>SUM(B19:D19)</x:f>
        <x:v>2.569814719822014</x:v>
      </x:c>
      <x:c r="F19" t="n">
        <x:f>B19*'01_SUPUESTOS'!R2</x:f>
        <x:v>142.01607662174288</x:v>
      </x:c>
      <x:c r="G19" t="n">
        <x:f>C19*'01_SUPUESTOS'!S2</x:f>
        <x:v>140.6635425586787</x:v>
      </x:c>
      <x:c r="H19" t="n">
        <x:f>D19*'01_SUPUESTOS'!T2</x:f>
        <x:v>0</x:v>
      </x:c>
      <x:c r="I19" t="n">
        <x:f>SUM(F19:H19)</x:f>
        <x:v>282.6796191804216</x:v>
      </x:c>
      <x:c r="J19" t="n">
        <x:f>B19*'01_SUPUESTOS'!B2+C19*'01_SUPUESTOS'!C2+D19*'01_SUPUESTOS'!D2</x:f>
        <x:v>1406.6354255867868</x:v>
      </x:c>
      <x:c r="K19" t="n">
        <x:f>MAX(F19-B19*'01_SUPUESTOS'!E2,0)*'01_SUPUESTOS'!H2+MAX(G19-C19*'01_SUPUESTOS'!F2,0)*'01_SUPUESTOS'!I2+MAX(H19-D19*'01_SUPUESTOS'!G2,0)*'01_SUPUESTOS'!J2</x:f>
        <x:v>0</x:v>
      </x:c>
      <x:c r="L19" t="n">
        <x:f>J19+K19</x:f>
        <x:v>1406.6354255867868</x:v>
      </x:c>
      <x:c r="M19" t="n">
        <x:f>I19*'01_SUPUESTOS'!U2</x:f>
        <x:v>5.653592383608432</x:v>
      </x:c>
      <x:c r="N19" t="n">
        <x:f>E19*'01_SUPUESTOS'!W2</x:f>
        <x:v>231.28332478398127</x:v>
      </x:c>
      <x:c r="O19" t="n">
        <x:f>M19+N19</x:f>
        <x:v>236.9369171675897</x:v>
      </x:c>
      <x:c r="P19" t="n">
        <x:f>SUM('01_SUPUESTOS'!V2,'01_SUPUESTOS'!X2:AB2)</x:f>
        <x:v>5063.08</x:v>
      </x:c>
      <x:c r="Q19" t="n">
        <x:f>L19-O19-P19</x:f>
        <x:v>-3893.3814915808025</x:v>
      </x:c>
      <x:c r="R19" t="n">
        <x:f>0</x:f>
        <x:v>0</x:v>
      </x:c>
      <x:c r="S19" t="n">
        <x:f>Q19-R19</x:f>
        <x:v>-3893.3814915808025</x:v>
      </x:c>
      <x:c r="T19" t="n">
        <x:f>T18+S19</x:f>
        <x:v>-88409.2417321293</x:v>
      </x:c>
      <x:c r="U19" t="n">
        <x:f>S19/(1+(1+'01_SUPUESTOS'!AF2)^(1/12)-1)^A19</x:f>
        <x:v>-2482.1401937983046</x:v>
      </x:c>
      <x:c r="V19" t="n">
        <x:f>IF(Q19&gt;=0,1,0)</x:f>
        <x:v>0</x:v>
      </x:c>
      <x:c r="W19" t="n">
        <x:f>IF(T19&gt;=0,1,0)</x:f>
        <x:v>0</x:v>
      </x:c>
    </x:row>
    <x:row r="20">
      <x:c r="A20" t="n">
        <x:f>19</x:f>
        <x:v>19</x:v>
      </x:c>
      <x:c r="B20" t="n">
        <x:f>B19*(1-'01_SUPUESTOS'!Q2)+'01_SUPUESTOS'!N2</x:f>
        <x:v>2.1077930562854554</x:v>
      </x:c>
      <x:c r="C20" t="n">
        <x:f>C19*(1-'01_SUPUESTOS'!Q2)+'01_SUPUESTOS'!O2</x:f>
        <x:v>0.5620781483427882</x:v>
      </x:c>
      <x:c r="D20" t="n">
        <x:f>D19*(1-'01_SUPUESTOS'!Q2)+'01_SUPUESTOS'!P2</x:f>
        <x:v>0</x:v>
      </x:c>
      <x:c r="E20" t="n">
        <x:f>SUM(B20:D20)</x:f>
        <x:v>2.669871204628244</x:v>
      </x:c>
      <x:c r="F20" t="n">
        <x:f>B20*'01_SUPUESTOS'!R2</x:f>
        <x:v>147.54551393998187</x:v>
      </x:c>
      <x:c r="G20" t="n">
        <x:f>C20*'01_SUPUESTOS'!S2</x:f>
        <x:v>146.14031856912493</x:v>
      </x:c>
      <x:c r="H20" t="n">
        <x:f>D20*'01_SUPUESTOS'!T2</x:f>
        <x:v>0</x:v>
      </x:c>
      <x:c r="I20" t="n">
        <x:f>SUM(F20:H20)</x:f>
        <x:v>293.68583250910683</x:v>
      </x:c>
      <x:c r="J20" t="n">
        <x:f>B20*'01_SUPUESTOS'!B2+C20*'01_SUPUESTOS'!C2+D20*'01_SUPUESTOS'!D2</x:f>
        <x:v>1461.4031856912493</x:v>
      </x:c>
      <x:c r="K20" t="n">
        <x:f>MAX(F20-B20*'01_SUPUESTOS'!E2,0)*'01_SUPUESTOS'!H2+MAX(G20-C20*'01_SUPUESTOS'!F2,0)*'01_SUPUESTOS'!I2+MAX(H20-D20*'01_SUPUESTOS'!G2,0)*'01_SUPUESTOS'!J2</x:f>
        <x:v>0</x:v>
      </x:c>
      <x:c r="L20" t="n">
        <x:f>J20+K20</x:f>
        <x:v>1461.4031856912493</x:v>
      </x:c>
      <x:c r="M20" t="n">
        <x:f>I20*'01_SUPUESTOS'!U2</x:f>
        <x:v>5.8737166501821365</x:v>
      </x:c>
      <x:c r="N20" t="n">
        <x:f>E20*'01_SUPUESTOS'!W2</x:f>
        <x:v>240.28840841654193</x:v>
      </x:c>
      <x:c r="O20" t="n">
        <x:f>M20+N20</x:f>
        <x:v>246.16212506672406</x:v>
      </x:c>
      <x:c r="P20" t="n">
        <x:f>SUM('01_SUPUESTOS'!V2,'01_SUPUESTOS'!X2:AB2)</x:f>
        <x:v>5063.08</x:v>
      </x:c>
      <x:c r="Q20" t="n">
        <x:f>L20-O20-P20</x:f>
        <x:v>-3847.8389393754746</x:v>
      </x:c>
      <x:c r="R20" t="n">
        <x:f>0</x:f>
        <x:v>0</x:v>
      </x:c>
      <x:c r="S20" t="n">
        <x:f>Q20-R20</x:f>
        <x:v>-3847.8389393754746</x:v>
      </x:c>
      <x:c r="T20" t="n">
        <x:f>T19+S20</x:f>
        <x:v>-92257.08067150478</x:v>
      </x:c>
      <x:c r="U20" t="n">
        <x:f>S20/(1+(1+'01_SUPUESTOS'!AF2)^(1/12)-1)^A20</x:f>
        <x:v>-2392.5172911332897</x:v>
      </x:c>
      <x:c r="V20" t="n">
        <x:f>IF(Q20&gt;=0,1,0)</x:f>
        <x:v>0</x:v>
      </x:c>
      <x:c r="W20" t="n">
        <x:f>IF(T20&gt;=0,1,0)</x:f>
        <x:v>0</x:v>
      </x:c>
    </x:row>
    <x:row r="21">
      <x:c r="A21" t="n">
        <x:f>20</x:f>
        <x:v>20</x:v>
      </x:c>
      <x:c r="B21" t="n">
        <x:f>B20*(1-'01_SUPUESTOS'!Q2)+'01_SUPUESTOS'!N2</x:f>
        <x:v>2.1840202993154643</x:v>
      </x:c>
      <x:c r="C21" t="n">
        <x:f>C20*(1-'01_SUPUESTOS'!Q2)+'01_SUPUESTOS'!O2</x:f>
        <x:v>0.5824054131507906</x:v>
      </x:c>
      <x:c r="D21" t="n">
        <x:f>D20*(1-'01_SUPUESTOS'!Q2)+'01_SUPUESTOS'!P2</x:f>
        <x:v>0</x:v>
      </x:c>
      <x:c r="E21" t="n">
        <x:f>SUM(B21:D21)</x:f>
        <x:v>2.766425712466255</x:v>
      </x:c>
      <x:c r="F21" t="n">
        <x:f>B21*'01_SUPUESTOS'!R2</x:f>
        <x:v>152.8814209520825</x:v>
      </x:c>
      <x:c r="G21" t="n">
        <x:f>C21*'01_SUPUESTOS'!S2</x:f>
        <x:v>151.42540741920556</x:v>
      </x:c>
      <x:c r="H21" t="n">
        <x:f>D21*'01_SUPUESTOS'!T2</x:f>
        <x:v>0</x:v>
      </x:c>
      <x:c r="I21" t="n">
        <x:f>SUM(F21:H21)</x:f>
        <x:v>304.306828371288</x:v>
      </x:c>
      <x:c r="J21" t="n">
        <x:f>B21*'01_SUPUESTOS'!B2+C21*'01_SUPUESTOS'!C2+D21*'01_SUPUESTOS'!D2</x:f>
        <x:v>1514.2540741920554</x:v>
      </x:c>
      <x:c r="K21" t="n">
        <x:f>MAX(F21-B21*'01_SUPUESTOS'!E2,0)*'01_SUPUESTOS'!H2+MAX(G21-C21*'01_SUPUESTOS'!F2,0)*'01_SUPUESTOS'!I2+MAX(H21-D21*'01_SUPUESTOS'!G2,0)*'01_SUPUESTOS'!J2</x:f>
        <x:v>0</x:v>
      </x:c>
      <x:c r="L21" t="n">
        <x:f>J21+K21</x:f>
        <x:v>1514.2540741920554</x:v>
      </x:c>
      <x:c r="M21" t="n">
        <x:f>I21*'01_SUPUESTOS'!U2</x:f>
        <x:v>6.08613656742576</x:v>
      </x:c>
      <x:c r="N21" t="n">
        <x:f>E21*'01_SUPUESTOS'!W2</x:f>
        <x:v>248.97831412196294</x:v>
      </x:c>
      <x:c r="O21" t="n">
        <x:f>M21+N21</x:f>
        <x:v>255.0644506893887</x:v>
      </x:c>
      <x:c r="P21" t="n">
        <x:f>SUM('01_SUPUESTOS'!V2,'01_SUPUESTOS'!X2:AB2)</x:f>
        <x:v>5063.08</x:v>
      </x:c>
      <x:c r="Q21" t="n">
        <x:f>L21-O21-P21</x:f>
        <x:v>-3803.890376497333</x:v>
      </x:c>
      <x:c r="R21" t="n">
        <x:f>0</x:f>
        <x:v>0</x:v>
      </x:c>
      <x:c r="S21" t="n">
        <x:f>Q21-R21</x:f>
        <x:v>-3803.890376497333</x:v>
      </x:c>
      <x:c r="T21" t="n">
        <x:f>T20+S21</x:f>
        <x:v>-96060.97104800212</x:v>
      </x:c>
      <x:c r="U21" t="n">
        <x:f>S21/(1+(1+'01_SUPUESTOS'!AF2)^(1/12)-1)^A21</x:f>
        <x:v>-2306.773985908029</x:v>
      </x:c>
      <x:c r="V21" t="n">
        <x:f>IF(Q21&gt;=0,1,0)</x:f>
        <x:v>0</x:v>
      </x:c>
      <x:c r="W21" t="n">
        <x:f>IF(T21&gt;=0,1,0)</x:f>
        <x:v>0</x:v>
      </x:c>
    </x:row>
    <x:row r="22">
      <x:c r="A22" t="n">
        <x:f>21</x:f>
        <x:v>21</x:v>
      </x:c>
      <x:c r="B22" t="n">
        <x:f>B21*(1-'01_SUPUESTOS'!Q2)+'01_SUPUESTOS'!N2</x:f>
        <x:v>2.257579588839423</x:v>
      </x:c>
      <x:c r="C22" t="n">
        <x:f>C21*(1-'01_SUPUESTOS'!Q2)+'01_SUPUESTOS'!O2</x:f>
        <x:v>0.602021223690513</x:v>
      </x:c>
      <x:c r="D22" t="n">
        <x:f>D21*(1-'01_SUPUESTOS'!Q2)+'01_SUPUESTOS'!P2</x:f>
        <x:v>0</x:v>
      </x:c>
      <x:c r="E22" t="n">
        <x:f>SUM(B22:D22)</x:f>
        <x:v>2.8596008125299357</x:v>
      </x:c>
      <x:c r="F22" t="n">
        <x:f>B22*'01_SUPUESTOS'!R2</x:f>
        <x:v>158.0305712187596</x:v>
      </x:c>
      <x:c r="G22" t="n">
        <x:f>C22*'01_SUPUESTOS'!S2</x:f>
        <x:v>156.5255181595334</x:v>
      </x:c>
      <x:c r="H22" t="n">
        <x:f>D22*'01_SUPUESTOS'!T2</x:f>
        <x:v>0</x:v>
      </x:c>
      <x:c r="I22" t="n">
        <x:f>SUM(F22:H22)</x:f>
        <x:v>314.556089378293</x:v>
      </x:c>
      <x:c r="J22" t="n">
        <x:f>B22*'01_SUPUESTOS'!B2+C22*'01_SUPUESTOS'!C2+D22*'01_SUPUESTOS'!D2</x:f>
        <x:v>1565.2551815953334</x:v>
      </x:c>
      <x:c r="K22" t="n">
        <x:f>MAX(F22-B22*'01_SUPUESTOS'!E2,0)*'01_SUPUESTOS'!H2+MAX(G22-C22*'01_SUPUESTOS'!F2,0)*'01_SUPUESTOS'!I2+MAX(H22-D22*'01_SUPUESTOS'!G2,0)*'01_SUPUESTOS'!J2</x:f>
        <x:v>0</x:v>
      </x:c>
      <x:c r="L22" t="n">
        <x:f>J22+K22</x:f>
        <x:v>1565.2551815953334</x:v>
      </x:c>
      <x:c r="M22" t="n">
        <x:f>I22*'01_SUPUESTOS'!U2</x:f>
        <x:v>6.29112178756586</x:v>
      </x:c>
      <x:c r="N22" t="n">
        <x:f>E22*'01_SUPUESTOS'!W2</x:f>
        <x:v>257.3640731276942</x:v>
      </x:c>
      <x:c r="O22" t="n">
        <x:f>M22+N22</x:f>
        <x:v>263.6551949152601</x:v>
      </x:c>
      <x:c r="P22" t="n">
        <x:f>SUM('01_SUPUESTOS'!V2,'01_SUPUESTOS'!X2:AB2)</x:f>
        <x:v>5063.08</x:v>
      </x:c>
      <x:c r="Q22" t="n">
        <x:f>L22-O22-P22</x:f>
        <x:v>-3761.480013319927</x:v>
      </x:c>
      <x:c r="R22" t="n">
        <x:f>0</x:f>
        <x:v>0</x:v>
      </x:c>
      <x:c r="S22" t="n">
        <x:f>Q22-R22</x:f>
        <x:v>-3761.480013319927</x:v>
      </x:c>
      <x:c r="T22" t="n">
        <x:f>T21+S22</x:f>
        <x:v>-99822.45106132205</x:v>
      </x:c>
      <x:c r="U22" t="n">
        <x:f>S22/(1+(1+'01_SUPUESTOS'!AF2)^(1/12)-1)^A22</x:f>
        <x:v>-2224.716437617799</x:v>
      </x:c>
      <x:c r="V22" t="n">
        <x:f>IF(Q22&gt;=0,1,0)</x:f>
        <x:v>0</x:v>
      </x:c>
      <x:c r="W22" t="n">
        <x:f>IF(T22&gt;=0,1,0)</x:f>
        <x:v>0</x:v>
      </x:c>
    </x:row>
    <x:row r="23">
      <x:c r="A23" t="n">
        <x:f>22</x:f>
        <x:v>22</x:v>
      </x:c>
      <x:c r="B23" t="n">
        <x:f>B22*(1-'01_SUPUESTOS'!Q2)+'01_SUPUESTOS'!N2</x:f>
        <x:v>2.328564303230043</x:v>
      </x:c>
      <x:c r="C23" t="n">
        <x:f>C22*(1-'01_SUPUESTOS'!Q2)+'01_SUPUESTOS'!O2</x:f>
        <x:v>0.6209504808613451</x:v>
      </x:c>
      <x:c r="D23" t="n">
        <x:f>D22*(1-'01_SUPUESTOS'!Q2)+'01_SUPUESTOS'!P2</x:f>
        <x:v>0</x:v>
      </x:c>
      <x:c r="E23" t="n">
        <x:f>SUM(B23:D23)</x:f>
        <x:v>2.949514784091388</x:v>
      </x:c>
      <x:c r="F23" t="n">
        <x:f>B23*'01_SUPUESTOS'!R2</x:f>
        <x:v>162.999501226103</x:v>
      </x:c>
      <x:c r="G23" t="n">
        <x:f>C23*'01_SUPUESTOS'!S2</x:f>
        <x:v>161.44712502394972</x:v>
      </x:c>
      <x:c r="H23" t="n">
        <x:f>D23*'01_SUPUESTOS'!T2</x:f>
        <x:v>0</x:v>
      </x:c>
      <x:c r="I23" t="n">
        <x:f>SUM(F23:H23)</x:f>
        <x:v>324.44662625005276</x:v>
      </x:c>
      <x:c r="J23" t="n">
        <x:f>B23*'01_SUPUESTOS'!B2+C23*'01_SUPUESTOS'!C2+D23*'01_SUPUESTOS'!D2</x:f>
        <x:v>1614.4712502394968</x:v>
      </x:c>
      <x:c r="K23" t="n">
        <x:f>MAX(F23-B23*'01_SUPUESTOS'!E2,0)*'01_SUPUESTOS'!H2+MAX(G23-C23*'01_SUPUESTOS'!F2,0)*'01_SUPUESTOS'!I2+MAX(H23-D23*'01_SUPUESTOS'!G2,0)*'01_SUPUESTOS'!J2</x:f>
        <x:v>0</x:v>
      </x:c>
      <x:c r="L23" t="n">
        <x:f>J23+K23</x:f>
        <x:v>1614.4712502394968</x:v>
      </x:c>
      <x:c r="M23" t="n">
        <x:f>I23*'01_SUPUESTOS'!U2</x:f>
        <x:v>6.488932525001055</x:v>
      </x:c>
      <x:c r="N23" t="n">
        <x:f>E23*'01_SUPUESTOS'!W2</x:f>
        <x:v>265.4563305682249</x:v>
      </x:c>
      <x:c r="O23" t="n">
        <x:f>M23+N23</x:f>
        <x:v>271.945263093226</x:v>
      </x:c>
      <x:c r="P23" t="n">
        <x:f>SUM('01_SUPUESTOS'!V2,'01_SUPUESTOS'!X2:AB2)</x:f>
        <x:v>5063.08</x:v>
      </x:c>
      <x:c r="Q23" t="n">
        <x:f>L23-O23-P23</x:f>
        <x:v>-3720.554012853729</x:v>
      </x:c>
      <x:c r="R23" t="n">
        <x:f>0</x:f>
        <x:v>0</x:v>
      </x:c>
      <x:c r="S23" t="n">
        <x:f>Q23-R23</x:f>
        <x:v>-3720.554012853729</x:v>
      </x:c>
      <x:c r="T23" t="n">
        <x:f>T22+S23</x:f>
        <x:v>-103543.00507417577</x:v>
      </x:c>
      <x:c r="U23" t="n">
        <x:f>S23/(1+(1+'01_SUPUESTOS'!AF2)^(1/12)-1)^A23</x:f>
        <x:v>-2146.1613602624793</x:v>
      </x:c>
      <x:c r="V23" t="n">
        <x:f>IF(Q23&gt;=0,1,0)</x:f>
        <x:v>0</x:v>
      </x:c>
      <x:c r="W23" t="n">
        <x:f>IF(T23&gt;=0,1,0)</x:f>
        <x:v>0</x:v>
      </x:c>
    </x:row>
    <x:row r="24">
      <x:c r="A24" t="n">
        <x:f>23</x:f>
        <x:v>23</x:v>
      </x:c>
      <x:c r="B24" t="n">
        <x:f>B23*(1-'01_SUPUESTOS'!Q2)+'01_SUPUESTOS'!N2</x:f>
        <x:v>2.397064552616991</x:v>
      </x:c>
      <x:c r="C24" t="n">
        <x:f>C23*(1-'01_SUPUESTOS'!Q2)+'01_SUPUESTOS'!O2</x:f>
        <x:v>0.639217214031198</x:v>
      </x:c>
      <x:c r="D24" t="n">
        <x:f>D23*(1-'01_SUPUESTOS'!Q2)+'01_SUPUESTOS'!P2</x:f>
        <x:v>0</x:v>
      </x:c>
      <x:c r="E24" t="n">
        <x:f>SUM(B24:D24)</x:f>
        <x:v>3.036281766648189</x:v>
      </x:c>
      <x:c r="F24" t="n">
        <x:f>B24*'01_SUPUESTOS'!R2</x:f>
        <x:v>167.79451868318938</x:v>
      </x:c>
      <x:c r="G24" t="n">
        <x:f>C24*'01_SUPUESTOS'!S2</x:f>
        <x:v>166.1964756481115</x:v>
      </x:c>
      <x:c r="H24" t="n">
        <x:f>D24*'01_SUPUESTOS'!T2</x:f>
        <x:v>0</x:v>
      </x:c>
      <x:c r="I24" t="n">
        <x:f>SUM(F24:H24)</x:f>
        <x:v>333.99099433130084</x:v>
      </x:c>
      <x:c r="J24" t="n">
        <x:f>B24*'01_SUPUESTOS'!B2+C24*'01_SUPUESTOS'!C2+D24*'01_SUPUESTOS'!D2</x:f>
        <x:v>1661.9647564811144</x:v>
      </x:c>
      <x:c r="K24" t="n">
        <x:f>MAX(F24-B24*'01_SUPUESTOS'!E2,0)*'01_SUPUESTOS'!H2+MAX(G24-C24*'01_SUPUESTOS'!F2,0)*'01_SUPUESTOS'!I2+MAX(H24-D24*'01_SUPUESTOS'!G2,0)*'01_SUPUESTOS'!J2</x:f>
        <x:v>0</x:v>
      </x:c>
      <x:c r="L24" t="n">
        <x:f>J24+K24</x:f>
        <x:v>1661.9647564811144</x:v>
      </x:c>
      <x:c r="M24" t="n">
        <x:f>I24*'01_SUPUESTOS'!U2</x:f>
        <x:v>6.679819886626017</x:v>
      </x:c>
      <x:c r="N24" t="n">
        <x:f>E24*'01_SUPUESTOS'!W2</x:f>
        <x:v>273.26535899833704</x:v>
      </x:c>
      <x:c r="O24" t="n">
        <x:f>M24+N24</x:f>
        <x:v>279.94517888496307</x:v>
      </x:c>
      <x:c r="P24" t="n">
        <x:f>SUM('01_SUPUESTOS'!V2,'01_SUPUESTOS'!X2:AB2)</x:f>
        <x:v>5063.08</x:v>
      </x:c>
      <x:c r="Q24" t="n">
        <x:f>L24-O24-P24</x:f>
        <x:v>-3681.060422403849</x:v>
      </x:c>
      <x:c r="R24" t="n">
        <x:f>0</x:f>
        <x:v>0</x:v>
      </x:c>
      <x:c r="S24" t="n">
        <x:f>Q24-R24</x:f>
        <x:v>-3681.060422403849</x:v>
      </x:c>
      <x:c r="T24" t="n">
        <x:f>T23+S24</x:f>
        <x:v>-107224.06549657963</x:v>
      </x:c>
      <x:c r="U24" t="n">
        <x:f>S24/(1+(1+'01_SUPUESTOS'!AF2)^(1/12)-1)^A24</x:f>
        <x:v>-2070.935422373555</x:v>
      </x:c>
      <x:c r="V24" t="n">
        <x:f>IF(Q24&gt;=0,1,0)</x:f>
        <x:v>0</x:v>
      </x:c>
      <x:c r="W24" t="n">
        <x:f>IF(T24&gt;=0,1,0)</x:f>
        <x:v>0</x:v>
      </x:c>
    </x:row>
    <x:row r="25">
      <x:c r="A25" t="n">
        <x:f>24</x:f>
        <x:v>24</x:v>
      </x:c>
      <x:c r="B25" t="n">
        <x:f>B24*(1-'01_SUPUESTOS'!Q2)+'01_SUPUESTOS'!N2</x:f>
        <x:v>2.4631672932753963</x:v>
      </x:c>
      <x:c r="C25" t="n">
        <x:f>C24*(1-'01_SUPUESTOS'!Q2)+'01_SUPUESTOS'!O2</x:f>
        <x:v>0.6568446115401061</x:v>
      </x:c>
      <x:c r="D25" t="n">
        <x:f>D24*(1-'01_SUPUESTOS'!Q2)+'01_SUPUESTOS'!P2</x:f>
        <x:v>0</x:v>
      </x:c>
      <x:c r="E25" t="n">
        <x:f>SUM(B25:D25)</x:f>
        <x:v>3.1200119048155024</x:v>
      </x:c>
      <x:c r="F25" t="n">
        <x:f>B25*'01_SUPUESTOS'!R2</x:f>
        <x:v>172.42171052927773</x:v>
      </x:c>
      <x:c r="G25" t="n">
        <x:f>C25*'01_SUPUESTOS'!S2</x:f>
        <x:v>170.7795990004276</x:v>
      </x:c>
      <x:c r="H25" t="n">
        <x:f>D25*'01_SUPUESTOS'!T2</x:f>
        <x:v>0</x:v>
      </x:c>
      <x:c r="I25" t="n">
        <x:f>SUM(F25:H25)</x:f>
        <x:v>343.2013095297053</x:v>
      </x:c>
      <x:c r="J25" t="n">
        <x:f>B25*'01_SUPUESTOS'!B2+C25*'01_SUPUESTOS'!C2+D25*'01_SUPUESTOS'!D2</x:f>
        <x:v>1707.7959900042752</x:v>
      </x:c>
      <x:c r="K25" t="n">
        <x:f>MAX(F25-B25*'01_SUPUESTOS'!E2,0)*'01_SUPUESTOS'!H2+MAX(G25-C25*'01_SUPUESTOS'!F2,0)*'01_SUPUESTOS'!I2+MAX(H25-D25*'01_SUPUESTOS'!G2,0)*'01_SUPUESTOS'!J2</x:f>
        <x:v>0</x:v>
      </x:c>
      <x:c r="L25" t="n">
        <x:f>J25+K25</x:f>
        <x:v>1707.7959900042752</x:v>
      </x:c>
      <x:c r="M25" t="n">
        <x:f>I25*'01_SUPUESTOS'!U2</x:f>
        <x:v>6.864026190594107</x:v>
      </x:c>
      <x:c r="N25" t="n">
        <x:f>E25*'01_SUPUESTOS'!W2</x:f>
        <x:v>280.80107143339524</x:v>
      </x:c>
      <x:c r="O25" t="n">
        <x:f>M25+N25</x:f>
        <x:v>287.66509762398937</x:v>
      </x:c>
      <x:c r="P25" t="n">
        <x:f>SUM('01_SUPUESTOS'!V2,'01_SUPUESTOS'!X2:AB2)</x:f>
        <x:v>5063.08</x:v>
      </x:c>
      <x:c r="Q25" t="n">
        <x:f>L25-O25-P25</x:f>
        <x:v>-3642.949107619714</x:v>
      </x:c>
      <x:c r="R25" t="n">
        <x:f>0</x:f>
        <x:v>0</x:v>
      </x:c>
      <x:c r="S25" t="n">
        <x:f>Q25-R25</x:f>
        <x:v>-3642.949107619714</x:v>
      </x:c>
      <x:c r="T25" t="n">
        <x:f>T24+S25</x:f>
        <x:v>-110867.01460419934</x:v>
      </x:c>
      <x:c r="U25" t="n">
        <x:f>S25/(1+(1+'01_SUPUESTOS'!AF2)^(1/12)-1)^A25</x:f>
        <x:v>-1998.8746818215272</x:v>
      </x:c>
      <x:c r="V25" t="n">
        <x:f>IF(Q25&gt;=0,1,0)</x:f>
        <x:v>0</x:v>
      </x:c>
      <x:c r="W25" t="n">
        <x:f>IF(T25&gt;=0,1,0)</x:f>
        <x:v>0</x:v>
      </x:c>
    </x:row>
    <x:row r="26">
      <x:c r="A26" t="n">
        <x:f>25</x:f>
        <x:v>25</x:v>
      </x:c>
      <x:c r="B26" t="n">
        <x:f>B25*(1-'01_SUPUESTOS'!Q2)+'01_SUPUESTOS'!N2</x:f>
        <x:v>2.526956438010757</x:v>
      </x:c>
      <x:c r="C26" t="n">
        <x:f>C25*(1-'01_SUPUESTOS'!Q2)+'01_SUPUESTOS'!O2</x:f>
        <x:v>0.6738550501362024</x:v>
      </x:c>
      <x:c r="D26" t="n">
        <x:f>D25*(1-'01_SUPUESTOS'!Q2)+'01_SUPUESTOS'!P2</x:f>
        <x:v>0</x:v>
      </x:c>
      <x:c r="E26" t="n">
        <x:f>SUM(B26:D26)</x:f>
        <x:v>3.2008114881469596</x:v>
      </x:c>
      <x:c r="F26" t="n">
        <x:f>B26*'01_SUPUESTOS'!R2</x:f>
        <x:v>176.886950660753</x:v>
      </x:c>
      <x:c r="G26" t="n">
        <x:f>C26*'01_SUPUESTOS'!S2</x:f>
        <x:v>175.20231303541263</x:v>
      </x:c>
      <x:c r="H26" t="n">
        <x:f>D26*'01_SUPUESTOS'!T2</x:f>
        <x:v>0</x:v>
      </x:c>
      <x:c r="I26" t="n">
        <x:f>SUM(F26:H26)</x:f>
        <x:v>352.08926369616563</x:v>
      </x:c>
      <x:c r="J26" t="n">
        <x:f>B26*'01_SUPUESTOS'!B2+C26*'01_SUPUESTOS'!C2+D26*'01_SUPUESTOS'!D2</x:f>
        <x:v>1752.0231303541254</x:v>
      </x:c>
      <x:c r="K26" t="n">
        <x:f>MAX(F26-B26*'01_SUPUESTOS'!E2,0)*'01_SUPUESTOS'!H2+MAX(G26-C26*'01_SUPUESTOS'!F2,0)*'01_SUPUESTOS'!I2+MAX(H26-D26*'01_SUPUESTOS'!G2,0)*'01_SUPUESTOS'!J2</x:f>
        <x:v>0</x:v>
      </x:c>
      <x:c r="L26" t="n">
        <x:f>J26+K26</x:f>
        <x:v>1752.0231303541254</x:v>
      </x:c>
      <x:c r="M26" t="n">
        <x:f>I26*'01_SUPUESTOS'!U2</x:f>
        <x:v>7.041785273923312</x:v>
      </x:c>
      <x:c r="N26" t="n">
        <x:f>E26*'01_SUPUESTOS'!W2</x:f>
        <x:v>288.0730339332264</x:v>
      </x:c>
      <x:c r="O26" t="n">
        <x:f>M26+N26</x:f>
        <x:v>295.1148192071497</x:v>
      </x:c>
      <x:c r="P26" t="n">
        <x:f>SUM('01_SUPUESTOS'!V2,'01_SUPUESTOS'!X2:AB2)</x:f>
        <x:v>5063.08</x:v>
      </x:c>
      <x:c r="Q26" t="n">
        <x:f>L26-O26-P26</x:f>
        <x:v>-3606.171688853024</x:v>
      </x:c>
      <x:c r="R26" t="n">
        <x:f>0</x:f>
        <x:v>0</x:v>
      </x:c>
      <x:c r="S26" t="n">
        <x:f>Q26-R26</x:f>
        <x:v>-3606.171688853024</x:v>
      </x:c>
      <x:c r="T26" t="n">
        <x:f>T25+S26</x:f>
        <x:v>-114473.18629305236</x:v>
      </x:c>
      <x:c r="U26" t="n">
        <x:f>S26/(1+(1+'01_SUPUESTOS'!AF2)^(1/12)-1)^A26</x:f>
        <x:v>-1929.8240533702801</x:v>
      </x:c>
      <x:c r="V26" t="n">
        <x:f>IF(Q26&gt;=0,1,0)</x:f>
        <x:v>0</x:v>
      </x:c>
      <x:c r="W26" t="n">
        <x:f>IF(T26&gt;=0,1,0)</x:f>
        <x:v>0</x:v>
      </x:c>
    </x:row>
    <x:row r="27">
      <x:c r="A27" t="n">
        <x:f>26</x:f>
        <x:v>26</x:v>
      </x:c>
      <x:c r="B27" t="n">
        <x:f>B26*(1-'01_SUPUESTOS'!Q2)+'01_SUPUESTOS'!N2</x:f>
        <x:v>2.5885129626803804</x:v>
      </x:c>
      <x:c r="C27" t="n">
        <x:f>C26*(1-'01_SUPUESTOS'!Q2)+'01_SUPUESTOS'!O2</x:f>
        <x:v>0.6902701233814353</x:v>
      </x:c>
      <x:c r="D27" t="n">
        <x:f>D26*(1-'01_SUPUESTOS'!Q2)+'01_SUPUESTOS'!P2</x:f>
        <x:v>0</x:v>
      </x:c>
      <x:c r="E27" t="n">
        <x:f>SUM(B27:D27)</x:f>
        <x:v>3.2787830860618157</x:v>
      </x:c>
      <x:c r="F27" t="n">
        <x:f>B27*'01_SUPUESTOS'!R2</x:f>
        <x:v>181.19590738762662</x:v>
      </x:c>
      <x:c r="G27" t="n">
        <x:f>C27*'01_SUPUESTOS'!S2</x:f>
        <x:v>179.4702320791732</x:v>
      </x:c>
      <x:c r="H27" t="n">
        <x:f>D27*'01_SUPUESTOS'!T2</x:f>
        <x:v>0</x:v>
      </x:c>
      <x:c r="I27" t="n">
        <x:f>SUM(F27:H27)</x:f>
        <x:v>360.6661394667998</x:v>
      </x:c>
      <x:c r="J27" t="n">
        <x:f>B27*'01_SUPUESTOS'!B2+C27*'01_SUPUESTOS'!C2+D27*'01_SUPUESTOS'!D2</x:f>
        <x:v>1794.702320791731</x:v>
      </x:c>
      <x:c r="K27" t="n">
        <x:f>MAX(F27-B27*'01_SUPUESTOS'!E2,0)*'01_SUPUESTOS'!H2+MAX(G27-C27*'01_SUPUESTOS'!F2,0)*'01_SUPUESTOS'!I2+MAX(H27-D27*'01_SUPUESTOS'!G2,0)*'01_SUPUESTOS'!J2</x:f>
        <x:v>0</x:v>
      </x:c>
      <x:c r="L27" t="n">
        <x:f>J27+K27</x:f>
        <x:v>1794.702320791731</x:v>
      </x:c>
      <x:c r="M27" t="n">
        <x:f>I27*'01_SUPUESTOS'!U2</x:f>
        <x:v>7.213322789335996</x:v>
      </x:c>
      <x:c r="N27" t="n">
        <x:f>E27*'01_SUPUESTOS'!W2</x:f>
        <x:v>295.0904777455634</x:v>
      </x:c>
      <x:c r="O27" t="n">
        <x:f>M27+N27</x:f>
        <x:v>302.30380053489944</x:v>
      </x:c>
      <x:c r="P27" t="n">
        <x:f>SUM('01_SUPUESTOS'!V2,'01_SUPUESTOS'!X2:AB2)</x:f>
        <x:v>5063.08</x:v>
      </x:c>
      <x:c r="Q27" t="n">
        <x:f>L27-O27-P27</x:f>
        <x:v>-3570.6814797431684</x:v>
      </x:c>
      <x:c r="R27" t="n">
        <x:f>0</x:f>
        <x:v>0</x:v>
      </x:c>
      <x:c r="S27" t="n">
        <x:f>Q27-R27</x:f>
        <x:v>-3570.6814797431684</x:v>
      </x:c>
      <x:c r="T27" t="n">
        <x:f>T26+S27</x:f>
        <x:v>-118043.86777279554</x:v>
      </x:c>
      <x:c r="U27" t="n">
        <x:f>S27/(1+(1+'01_SUPUESTOS'!AF2)^(1/12)-1)^A27</x:f>
        <x:v>-1863.6368070642409</x:v>
      </x:c>
      <x:c r="V27" t="n">
        <x:f>IF(Q27&gt;=0,1,0)</x:f>
        <x:v>0</x:v>
      </x:c>
      <x:c r="W27" t="n">
        <x:f>IF(T27&gt;=0,1,0)</x:f>
        <x:v>0</x:v>
      </x:c>
    </x:row>
    <x:row r="28">
      <x:c r="A28" t="n">
        <x:f>27</x:f>
        <x:v>27</x:v>
      </x:c>
      <x:c r="B28" t="n">
        <x:f>B27*(1-'01_SUPUESTOS'!Q2)+'01_SUPUESTOS'!N2</x:f>
        <x:v>2.647915008986567</x:v>
      </x:c>
      <x:c r="C28" t="n">
        <x:f>C27*(1-'01_SUPUESTOS'!Q2)+'01_SUPUESTOS'!O2</x:f>
        <x:v>0.7061106690630852</x:v>
      </x:c>
      <x:c r="D28" t="n">
        <x:f>D27*(1-'01_SUPUESTOS'!Q2)+'01_SUPUESTOS'!P2</x:f>
        <x:v>0</x:v>
      </x:c>
      <x:c r="E28" t="n">
        <x:f>SUM(B28:D28)</x:f>
        <x:v>3.354025678049652</x:v>
      </x:c>
      <x:c r="F28" t="n">
        <x:f>B28*'01_SUPUESTOS'!R2</x:f>
        <x:v>185.35405062905969</x:v>
      </x:c>
      <x:c r="G28" t="n">
        <x:f>C28*'01_SUPUESTOS'!S2</x:f>
        <x:v>183.58877395640215</x:v>
      </x:c>
      <x:c r="H28" t="n">
        <x:f>D28*'01_SUPUESTOS'!T2</x:f>
        <x:v>0</x:v>
      </x:c>
      <x:c r="I28" t="n">
        <x:f>SUM(F28:H28)</x:f>
        <x:v>368.94282458546184</x:v>
      </x:c>
      <x:c r="J28" t="n">
        <x:f>B28*'01_SUPUESTOS'!B2+C28*'01_SUPUESTOS'!C2+D28*'01_SUPUESTOS'!D2</x:f>
        <x:v>1835.8877395640204</x:v>
      </x:c>
      <x:c r="K28" t="n">
        <x:f>MAX(F28-B28*'01_SUPUESTOS'!E2,0)*'01_SUPUESTOS'!H2+MAX(G28-C28*'01_SUPUESTOS'!F2,0)*'01_SUPUESTOS'!I2+MAX(H28-D28*'01_SUPUESTOS'!G2,0)*'01_SUPUESTOS'!J2</x:f>
        <x:v>0</x:v>
      </x:c>
      <x:c r="L28" t="n">
        <x:f>J28+K28</x:f>
        <x:v>1835.8877395640204</x:v>
      </x:c>
      <x:c r="M28" t="n">
        <x:f>I28*'01_SUPUESTOS'!U2</x:f>
        <x:v>7.378856491709237</x:v>
      </x:c>
      <x:c r="N28" t="n">
        <x:f>E28*'01_SUPUESTOS'!W2</x:f>
        <x:v>301.8623110244687</x:v>
      </x:c>
      <x:c r="O28" t="n">
        <x:f>M28+N28</x:f>
        <x:v>309.24116751617794</x:v>
      </x:c>
      <x:c r="P28" t="n">
        <x:f>SUM('01_SUPUESTOS'!V2,'01_SUPUESTOS'!X2:AB2)</x:f>
        <x:v>5063.08</x:v>
      </x:c>
      <x:c r="Q28" t="n">
        <x:f>L28-O28-P28</x:f>
        <x:v>-3536.433427952157</x:v>
      </x:c>
      <x:c r="R28" t="n">
        <x:f>0</x:f>
        <x:v>0</x:v>
      </x:c>
      <x:c r="S28" t="n">
        <x:f>Q28-R28</x:f>
        <x:v>-3536.433427952157</x:v>
      </x:c>
      <x:c r="T28" t="n">
        <x:f>T27+S28</x:f>
        <x:v>-121580.3012007477</x:v>
      </x:c>
      <x:c r="U28" t="n">
        <x:f>S28/(1+(1+'01_SUPUESTOS'!AF2)^(1/12)-1)^A28</x:f>
        <x:v>-1800.1740956464978</x:v>
      </x:c>
      <x:c r="V28" t="n">
        <x:f>IF(Q28&gt;=0,1,0)</x:f>
        <x:v>0</x:v>
      </x:c>
      <x:c r="W28" t="n">
        <x:f>IF(T28&gt;=0,1,0)</x:f>
        <x:v>0</x:v>
      </x:c>
    </x:row>
    <x:row r="29">
      <x:c r="A29" t="n">
        <x:f>28</x:f>
        <x:v>28</x:v>
      </x:c>
      <x:c r="B29" t="n">
        <x:f>B28*(1-'01_SUPUESTOS'!Q2)+'01_SUPUESTOS'!N2</x:f>
        <x:v>2.705237983672037</x:v>
      </x:c>
      <x:c r="C29" t="n">
        <x:f>C28*(1-'01_SUPUESTOS'!Q2)+'01_SUPUESTOS'!O2</x:f>
        <x:v>0.7213967956458772</x:v>
      </x:c>
      <x:c r="D29" t="n">
        <x:f>D28*(1-'01_SUPUESTOS'!Q2)+'01_SUPUESTOS'!P2</x:f>
        <x:v>0</x:v>
      </x:c>
      <x:c r="E29" t="n">
        <x:f>SUM(B29:D29)</x:f>
        <x:v>3.426634779317914</x:v>
      </x:c>
      <x:c r="F29" t="n">
        <x:f>B29*'01_SUPUESTOS'!R2</x:f>
        <x:v>189.36665885704258</x:v>
      </x:c>
      <x:c r="G29" t="n">
        <x:f>C29*'01_SUPUESTOS'!S2</x:f>
        <x:v>187.5631668679281</x:v>
      </x:c>
      <x:c r="H29" t="n">
        <x:f>D29*'01_SUPUESTOS'!T2</x:f>
        <x:v>0</x:v>
      </x:c>
      <x:c r="I29" t="n">
        <x:f>SUM(F29:H29)</x:f>
        <x:v>376.92982572497067</x:v>
      </x:c>
      <x:c r="J29" t="n">
        <x:f>B29*'01_SUPUESTOS'!B2+C29*'01_SUPUESTOS'!C2+D29*'01_SUPUESTOS'!D2</x:f>
        <x:v>1875.6316686792798</x:v>
      </x:c>
      <x:c r="K29" t="n">
        <x:f>MAX(F29-B29*'01_SUPUESTOS'!E2,0)*'01_SUPUESTOS'!H2+MAX(G29-C29*'01_SUPUESTOS'!F2,0)*'01_SUPUESTOS'!I2+MAX(H29-D29*'01_SUPUESTOS'!G2,0)*'01_SUPUESTOS'!J2</x:f>
        <x:v>0</x:v>
      </x:c>
      <x:c r="L29" t="n">
        <x:f>J29+K29</x:f>
        <x:v>1875.6316686792798</x:v>
      </x:c>
      <x:c r="M29" t="n">
        <x:f>I29*'01_SUPUESTOS'!U2</x:f>
        <x:v>7.538596514499414</x:v>
      </x:c>
      <x:c r="N29" t="n">
        <x:f>E29*'01_SUPUESTOS'!W2</x:f>
        <x:v>308.3971301386123</x:v>
      </x:c>
      <x:c r="O29" t="n">
        <x:f>M29+N29</x:f>
        <x:v>315.9357266531117</x:v>
      </x:c>
      <x:c r="P29" t="n">
        <x:f>SUM('01_SUPUESTOS'!V2,'01_SUPUESTOS'!X2:AB2)</x:f>
        <x:v>5063.08</x:v>
      </x:c>
      <x:c r="Q29" t="n">
        <x:f>L29-O29-P29</x:f>
        <x:v>-3503.3840579738317</x:v>
      </x:c>
      <x:c r="R29" t="n">
        <x:f>0</x:f>
        <x:v>0</x:v>
      </x:c>
      <x:c r="S29" t="n">
        <x:f>Q29-R29</x:f>
        <x:v>-3503.3840579738317</x:v>
      </x:c>
      <x:c r="T29" t="n">
        <x:f>T28+S29</x:f>
        <x:v>-125083.68525872153</x:v>
      </x:c>
      <x:c r="U29" t="n">
        <x:f>S29/(1+(1+'01_SUPUESTOS'!AF2)^(1/12)-1)^A29</x:f>
        <x:v>-1739.3045093117473</x:v>
      </x:c>
      <x:c r="V29" t="n">
        <x:f>IF(Q29&gt;=0,1,0)</x:f>
        <x:v>0</x:v>
      </x:c>
      <x:c r="W29" t="n">
        <x:f>IF(T29&gt;=0,1,0)</x:f>
        <x:v>0</x:v>
      </x:c>
    </x:row>
    <x:row r="30">
      <x:c r="A30" t="n">
        <x:f>29</x:f>
        <x:v>29</x:v>
      </x:c>
      <x:c r="B30" t="n">
        <x:f>B29*(1-'01_SUPUESTOS'!Q2)+'01_SUPUESTOS'!N2</x:f>
        <x:v>2.7605546542435158</x:v>
      </x:c>
      <x:c r="C30" t="n">
        <x:f>C29*(1-'01_SUPUESTOS'!Q2)+'01_SUPUESTOS'!O2</x:f>
        <x:v>0.7361479077982716</x:v>
      </x:c>
      <x:c r="D30" t="n">
        <x:f>D29*(1-'01_SUPUESTOS'!Q2)+'01_SUPUESTOS'!P2</x:f>
        <x:v>0</x:v>
      </x:c>
      <x:c r="E30" t="n">
        <x:f>SUM(B30:D30)</x:f>
        <x:v>3.4967025620417873</x:v>
      </x:c>
      <x:c r="F30" t="n">
        <x:f>B30*'01_SUPUESTOS'!R2</x:f>
        <x:v>193.2388257970461</x:v>
      </x:c>
      <x:c r="G30" t="n">
        <x:f>C30*'01_SUPUESTOS'!S2</x:f>
        <x:v>191.3984560275506</x:v>
      </x:c>
      <x:c r="H30" t="n">
        <x:f>D30*'01_SUPUESTOS'!T2</x:f>
        <x:v>0</x:v>
      </x:c>
      <x:c r="I30" t="n">
        <x:f>SUM(F30:H30)</x:f>
        <x:v>384.6372818245967</x:v>
      </x:c>
      <x:c r="J30" t="n">
        <x:f>B30*'01_SUPUESTOS'!B2+C30*'01_SUPUESTOS'!C2+D30*'01_SUPUESTOS'!D2</x:f>
        <x:v>1913.984560275505</x:v>
      </x:c>
      <x:c r="K30" t="n">
        <x:f>MAX(F30-B30*'01_SUPUESTOS'!E2,0)*'01_SUPUESTOS'!H2+MAX(G30-C30*'01_SUPUESTOS'!F2,0)*'01_SUPUESTOS'!I2+MAX(H30-D30*'01_SUPUESTOS'!G2,0)*'01_SUPUESTOS'!J2</x:f>
        <x:v>0</x:v>
      </x:c>
      <x:c r="L30" t="n">
        <x:f>J30+K30</x:f>
        <x:v>1913.984560275505</x:v>
      </x:c>
      <x:c r="M30" t="n">
        <x:f>I30*'01_SUPUESTOS'!U2</x:f>
        <x:v>7.692745636491934</x:v>
      </x:c>
      <x:c r="N30" t="n">
        <x:f>E30*'01_SUPUESTOS'!W2</x:f>
        <x:v>314.70323058376084</x:v>
      </x:c>
      <x:c r="O30" t="n">
        <x:f>M30+N30</x:f>
        <x:v>322.39597622025275</x:v>
      </x:c>
      <x:c r="P30" t="n">
        <x:f>SUM('01_SUPUESTOS'!V2,'01_SUPUESTOS'!X2:AB2)</x:f>
        <x:v>5063.08</x:v>
      </x:c>
      <x:c r="Q30" t="n">
        <x:f>L30-O30-P30</x:f>
        <x:v>-3471.491415944748</x:v>
      </x:c>
      <x:c r="R30" t="n">
        <x:f>0</x:f>
        <x:v>0</x:v>
      </x:c>
      <x:c r="S30" t="n">
        <x:f>Q30-R30</x:f>
        <x:v>-3471.491415944748</x:v>
      </x:c>
      <x:c r="T30" t="n">
        <x:f>T29+S30</x:f>
        <x:v>-128555.17667466628</x:v>
      </x:c>
      <x:c r="U30" t="n">
        <x:f>S30/(1+(1+'01_SUPUESTOS'!AF2)^(1/12)-1)^A30</x:f>
        <x:v>-1680.903656197429</x:v>
      </x:c>
      <x:c r="V30" t="n">
        <x:f>IF(Q30&gt;=0,1,0)</x:f>
        <x:v>0</x:v>
      </x:c>
      <x:c r="W30" t="n">
        <x:f>IF(T30&gt;=0,1,0)</x:f>
        <x:v>0</x:v>
      </x:c>
    </x:row>
    <x:row r="31">
      <x:c r="A31" t="n">
        <x:f>30</x:f>
        <x:v>30</x:v>
      </x:c>
      <x:c r="B31" t="n">
        <x:f>B30*(1-'01_SUPUESTOS'!Q2)+'01_SUPUESTOS'!N2</x:f>
        <x:v>2.8139352413449927</x:v>
      </x:c>
      <x:c r="C31" t="n">
        <x:f>C30*(1-'01_SUPUESTOS'!Q2)+'01_SUPUESTOS'!O2</x:f>
        <x:v>0.750382731025332</x:v>
      </x:c>
      <x:c r="D31" t="n">
        <x:f>D30*(1-'01_SUPUESTOS'!Q2)+'01_SUPUESTOS'!P2</x:f>
        <x:v>0</x:v>
      </x:c>
      <x:c r="E31" t="n">
        <x:f>SUM(B31:D31)</x:f>
        <x:v>3.5643179723703247</x:v>
      </x:c>
      <x:c r="F31" t="n">
        <x:f>B31*'01_SUPUESTOS'!R2</x:f>
        <x:v>196.9754668941495</x:v>
      </x:c>
      <x:c r="G31" t="n">
        <x:f>C31*'01_SUPUESTOS'!S2</x:f>
        <x:v>195.09951006658633</x:v>
      </x:c>
      <x:c r="H31" t="n">
        <x:f>D31*'01_SUPUESTOS'!T2</x:f>
        <x:v>0</x:v>
      </x:c>
      <x:c r="I31" t="n">
        <x:f>SUM(F31:H31)</x:f>
        <x:v>392.07497696073585</x:v>
      </x:c>
      <x:c r="J31" t="n">
        <x:f>B31*'01_SUPUESTOS'!B2+C31*'01_SUPUESTOS'!C2+D31*'01_SUPUESTOS'!D2</x:f>
        <x:v>1950.9951006658623</x:v>
      </x:c>
      <x:c r="K31" t="n">
        <x:f>MAX(F31-B31*'01_SUPUESTOS'!E2,0)*'01_SUPUESTOS'!H2+MAX(G31-C31*'01_SUPUESTOS'!F2,0)*'01_SUPUESTOS'!I2+MAX(H31-D31*'01_SUPUESTOS'!G2,0)*'01_SUPUESTOS'!J2</x:f>
        <x:v>0</x:v>
      </x:c>
      <x:c r="L31" t="n">
        <x:f>J31+K31</x:f>
        <x:v>1950.9951006658623</x:v>
      </x:c>
      <x:c r="M31" t="n">
        <x:f>I31*'01_SUPUESTOS'!U2</x:f>
        <x:v>7.841499539214717</x:v>
      </x:c>
      <x:c r="N31" t="n">
        <x:f>E31*'01_SUPUESTOS'!W2</x:f>
        <x:v>320.7886175133292</x:v>
      </x:c>
      <x:c r="O31" t="n">
        <x:f>M31+N31</x:f>
        <x:v>328.63011705254394</x:v>
      </x:c>
      <x:c r="P31" t="n">
        <x:f>SUM('01_SUPUESTOS'!V2,'01_SUPUESTOS'!X2:AB2)</x:f>
        <x:v>5063.08</x:v>
      </x:c>
      <x:c r="Q31" t="n">
        <x:f>L31-O31-P31</x:f>
        <x:v>-3440.715016386682</x:v>
      </x:c>
      <x:c r="R31" t="n">
        <x:f>0</x:f>
        <x:v>0</x:v>
      </x:c>
      <x:c r="S31" t="n">
        <x:f>Q31-R31</x:f>
        <x:v>-3440.715016386682</x:v>
      </x:c>
      <x:c r="T31" t="n">
        <x:f>T30+S31</x:f>
        <x:v>-131995.89169105297</x:v>
      </x:c>
      <x:c r="U31" t="n">
        <x:f>S31/(1+(1+'01_SUPUESTOS'!AF2)^(1/12)-1)^A31</x:f>
        <x:v>-1624.853767110073</x:v>
      </x:c>
      <x:c r="V31" t="n">
        <x:f>IF(Q31&gt;=0,1,0)</x:f>
        <x:v>0</x:v>
      </x:c>
      <x:c r="W31" t="n">
        <x:f>IF(T31&gt;=0,1,0)</x:f>
        <x:v>0</x:v>
      </x:c>
    </x:row>
    <x:row r="32">
      <x:c r="A32" t="n">
        <x:f>31</x:f>
        <x:v>31</x:v>
      </x:c>
      <x:c r="B32" t="n">
        <x:f>B31*(1-'01_SUPUESTOS'!Q2)+'01_SUPUESTOS'!N2</x:f>
        <x:v>2.865447507897918</x:v>
      </x:c>
      <x:c r="C32" t="n">
        <x:f>C31*(1-'01_SUPUESTOS'!Q2)+'01_SUPUESTOS'!O2</x:f>
        <x:v>0.7641193354394454</x:v>
      </x:c>
      <x:c r="D32" t="n">
        <x:f>D31*(1-'01_SUPUESTOS'!Q2)+'01_SUPUESTOS'!P2</x:f>
        <x:v>0</x:v>
      </x:c>
      <x:c r="E32" t="n">
        <x:f>SUM(B32:D32)</x:f>
        <x:v>3.6295668433373636</x:v>
      </x:c>
      <x:c r="F32" t="n">
        <x:f>B32*'01_SUPUESTOS'!R2</x:f>
        <x:v>200.58132555285425</x:v>
      </x:c>
      <x:c r="G32" t="n">
        <x:f>C32*'01_SUPUESTOS'!S2</x:f>
        <x:v>198.67102721425582</x:v>
      </x:c>
      <x:c r="H32" t="n">
        <x:f>D32*'01_SUPUESTOS'!T2</x:f>
        <x:v>0</x:v>
      </x:c>
      <x:c r="I32" t="n">
        <x:f>SUM(F32:H32)</x:f>
        <x:v>399.2523527671101</x:v>
      </x:c>
      <x:c r="J32" t="n">
        <x:f>B32*'01_SUPUESTOS'!B2+C32*'01_SUPUESTOS'!C2+D32*'01_SUPUESTOS'!D2</x:f>
        <x:v>1986.7102721425572</x:v>
      </x:c>
      <x:c r="K32" t="n">
        <x:f>MAX(F32-B32*'01_SUPUESTOS'!E2,0)*'01_SUPUESTOS'!H2+MAX(G32-C32*'01_SUPUESTOS'!F2,0)*'01_SUPUESTOS'!I2+MAX(H32-D32*'01_SUPUESTOS'!G2,0)*'01_SUPUESTOS'!J2</x:f>
        <x:v>0</x:v>
      </x:c>
      <x:c r="L32" t="n">
        <x:f>J32+K32</x:f>
        <x:v>1986.7102721425572</x:v>
      </x:c>
      <x:c r="M32" t="n">
        <x:f>I32*'01_SUPUESTOS'!U2</x:f>
        <x:v>7.985047055342202</x:v>
      </x:c>
      <x:c r="N32" t="n">
        <x:f>E32*'01_SUPUESTOS'!W2</x:f>
        <x:v>326.6610159003627</x:v>
      </x:c>
      <x:c r="O32" t="n">
        <x:f>M32+N32</x:f>
        <x:v>334.6460629557049</x:v>
      </x:c>
      <x:c r="P32" t="n">
        <x:f>SUM('01_SUPUESTOS'!V2,'01_SUPUESTOS'!X2:AB2)</x:f>
        <x:v>5063.08</x:v>
      </x:c>
      <x:c r="Q32" t="n">
        <x:f>L32-O32-P32</x:f>
        <x:v>-3411.0157908131478</x:v>
      </x:c>
      <x:c r="R32" t="n">
        <x:f>0</x:f>
        <x:v>0</x:v>
      </x:c>
      <x:c r="S32" t="n">
        <x:f>Q32-R32</x:f>
        <x:v>-3411.0157908131478</x:v>
      </x:c>
      <x:c r="T32" t="n">
        <x:f>T31+S32</x:f>
        <x:v>-135406.9074818661</x:v>
      </x:c>
      <x:c r="U32" t="n">
        <x:f>S32/(1+(1+'01_SUPUESTOS'!AF2)^(1/12)-1)^A32</x:f>
        <x:v>-1571.0433230720164</x:v>
      </x:c>
      <x:c r="V32" t="n">
        <x:f>IF(Q32&gt;=0,1,0)</x:f>
        <x:v>0</x:v>
      </x:c>
      <x:c r="W32" t="n">
        <x:f>IF(T32&gt;=0,1,0)</x:f>
        <x:v>0</x:v>
      </x:c>
    </x:row>
    <x:row r="33">
      <x:c r="A33" t="n">
        <x:f>32</x:f>
        <x:v>32</x:v>
      </x:c>
      <x:c r="B33" t="n">
        <x:f>B32*(1-'01_SUPUESTOS'!Q2)+'01_SUPUESTOS'!N2</x:f>
        <x:v>2.9151568451214906</x:v>
      </x:c>
      <x:c r="C33" t="n">
        <x:f>C32*(1-'01_SUPUESTOS'!Q2)+'01_SUPUESTOS'!O2</x:f>
        <x:v>0.7773751586990648</x:v>
      </x:c>
      <x:c r="D33" t="n">
        <x:f>D32*(1-'01_SUPUESTOS'!Q2)+'01_SUPUESTOS'!P2</x:f>
        <x:v>0</x:v>
      </x:c>
      <x:c r="E33" t="n">
        <x:f>SUM(B33:D33)</x:f>
        <x:v>3.6925320038205554</x:v>
      </x:c>
      <x:c r="F33" t="n">
        <x:f>B33*'01_SUPUESTOS'!R2</x:f>
        <x:v>204.06097915850435</x:v>
      </x:c>
      <x:c r="G33" t="n">
        <x:f>C33*'01_SUPUESTOS'!S2</x:f>
        <x:v>202.11754126175686</x:v>
      </x:c>
      <x:c r="H33" t="n">
        <x:f>D33*'01_SUPUESTOS'!T2</x:f>
        <x:v>0</x:v>
      </x:c>
      <x:c r="I33" t="n">
        <x:f>SUM(F33:H33)</x:f>
        <x:v>406.1785204202612</x:v>
      </x:c>
      <x:c r="J33" t="n">
        <x:f>B33*'01_SUPUESTOS'!B2+C33*'01_SUPUESTOS'!C2+D33*'01_SUPUESTOS'!D2</x:f>
        <x:v>2021.1754126175674</x:v>
      </x:c>
      <x:c r="K33" t="n">
        <x:f>MAX(F33-B33*'01_SUPUESTOS'!E2,0)*'01_SUPUESTOS'!H2+MAX(G33-C33*'01_SUPUESTOS'!F2,0)*'01_SUPUESTOS'!I2+MAX(H33-D33*'01_SUPUESTOS'!G2,0)*'01_SUPUESTOS'!J2</x:f>
        <x:v>0</x:v>
      </x:c>
      <x:c r="L33" t="n">
        <x:f>J33+K33</x:f>
        <x:v>2021.1754126175674</x:v>
      </x:c>
      <x:c r="M33" t="n">
        <x:f>I33*'01_SUPUESTOS'!U2</x:f>
        <x:v>8.123570408405223</x:v>
      </x:c>
      <x:c r="N33" t="n">
        <x:f>E33*'01_SUPUESTOS'!W2</x:f>
        <x:v>332.32788034385</x:v>
      </x:c>
      <x:c r="O33" t="n">
        <x:f>M33+N33</x:f>
        <x:v>340.4514507522552</x:v>
      </x:c>
      <x:c r="P33" t="n">
        <x:f>SUM('01_SUPUESTOS'!V2,'01_SUPUESTOS'!X2:AB2)</x:f>
        <x:v>5063.08</x:v>
      </x:c>
      <x:c r="Q33" t="n">
        <x:f>L33-O33-P33</x:f>
        <x:v>-3382.356038134688</x:v>
      </x:c>
      <x:c r="R33" t="n">
        <x:f>0</x:f>
        <x:v>0</x:v>
      </x:c>
      <x:c r="S33" t="n">
        <x:f>Q33-R33</x:f>
        <x:v>-3382.356038134688</x:v>
      </x:c>
      <x:c r="T33" t="n">
        <x:f>T32+S33</x:f>
        <x:v>-138789.2635200008</x:v>
      </x:c>
      <x:c r="U33" t="n">
        <x:f>S33/(1+(1+'01_SUPUESTOS'!AF2)^(1/12)-1)^A33</x:f>
        <x:v>-1519.3667043566263</x:v>
      </x:c>
      <x:c r="V33" t="n">
        <x:f>IF(Q33&gt;=0,1,0)</x:f>
        <x:v>0</x:v>
      </x:c>
      <x:c r="W33" t="n">
        <x:f>IF(T33&gt;=0,1,0)</x:f>
        <x:v>0</x:v>
      </x:c>
    </x:row>
    <x:row r="34">
      <x:c r="A34" t="n">
        <x:f>33</x:f>
        <x:v>33</x:v>
      </x:c>
      <x:c r="B34" t="n">
        <x:f>B33*(1-'01_SUPUESTOS'!Q2)+'01_SUPUESTOS'!N2</x:f>
        <x:v>2.9631263555422382</x:v>
      </x:c>
      <x:c r="C34" t="n">
        <x:f>C33*(1-'01_SUPUESTOS'!Q2)+'01_SUPUESTOS'!O2</x:f>
        <x:v>0.7901670281445976</x:v>
      </x:c>
      <x:c r="D34" t="n">
        <x:f>D33*(1-'01_SUPUESTOS'!Q2)+'01_SUPUESTOS'!P2</x:f>
        <x:v>0</x:v>
      </x:c>
      <x:c r="E34" t="n">
        <x:f>SUM(B34:D34)</x:f>
        <x:v>3.753293383686836</x:v>
      </x:c>
      <x:c r="F34" t="n">
        <x:f>B34*'01_SUPUESTOS'!R2</x:f>
        <x:v>207.41884488795668</x:v>
      </x:c>
      <x:c r="G34" t="n">
        <x:f>C34*'01_SUPUESTOS'!S2</x:f>
        <x:v>205.44342731759536</x:v>
      </x:c>
      <x:c r="H34" t="n">
        <x:f>D34*'01_SUPUESTOS'!T2</x:f>
        <x:v>0</x:v>
      </x:c>
      <x:c r="I34" t="n">
        <x:f>SUM(F34:H34)</x:f>
        <x:v>412.862272205552</x:v>
      </x:c>
      <x:c r="J34" t="n">
        <x:f>B34*'01_SUPUESTOS'!B2+C34*'01_SUPUESTOS'!C2+D34*'01_SUPUESTOS'!D2</x:f>
        <x:v>2054.4342731759525</x:v>
      </x:c>
      <x:c r="K34" t="n">
        <x:f>MAX(F34-B34*'01_SUPUESTOS'!E2,0)*'01_SUPUESTOS'!H2+MAX(G34-C34*'01_SUPUESTOS'!F2,0)*'01_SUPUESTOS'!I2+MAX(H34-D34*'01_SUPUESTOS'!G2,0)*'01_SUPUESTOS'!J2</x:f>
        <x:v>0</x:v>
      </x:c>
      <x:c r="L34" t="n">
        <x:f>J34+K34</x:f>
        <x:v>2054.4342731759525</x:v>
      </x:c>
      <x:c r="M34" t="n">
        <x:f>I34*'01_SUPUESTOS'!U2</x:f>
        <x:v>8.25724544411104</x:v>
      </x:c>
      <x:c r="N34" t="n">
        <x:f>E34*'01_SUPUESTOS'!W2</x:f>
        <x:v>337.7964045318152</x:v>
      </x:c>
      <x:c r="O34" t="n">
        <x:f>M34+N34</x:f>
        <x:v>346.05364997592625</x:v>
      </x:c>
      <x:c r="P34" t="n">
        <x:f>SUM('01_SUPUESTOS'!V2,'01_SUPUESTOS'!X2:AB2)</x:f>
        <x:v>5063.08</x:v>
      </x:c>
      <x:c r="Q34" t="n">
        <x:f>L34-O34-P34</x:f>
        <x:v>-3354.699376799974</x:v>
      </x:c>
      <x:c r="R34" t="n">
        <x:f>0</x:f>
        <x:v>0</x:v>
      </x:c>
      <x:c r="S34" t="n">
        <x:f>Q34-R34</x:f>
        <x:v>-3354.699376799974</x:v>
      </x:c>
      <x:c r="T34" t="n">
        <x:f>T33+S34</x:f>
        <x:v>-142143.96289680077</x:v>
      </x:c>
      <x:c r="U34" t="n">
        <x:f>S34/(1+(1+'01_SUPUESTOS'!AF2)^(1/12)-1)^A34</x:f>
        <x:v>-1469.7238597582507</x:v>
      </x:c>
      <x:c r="V34" t="n">
        <x:f>IF(Q34&gt;=0,1,0)</x:f>
        <x:v>0</x:v>
      </x:c>
      <x:c r="W34" t="n">
        <x:f>IF(T34&gt;=0,1,0)</x:f>
        <x:v>0</x:v>
      </x:c>
    </x:row>
    <x:row r="35">
      <x:c r="A35" t="n">
        <x:f>34</x:f>
        <x:v>34</x:v>
      </x:c>
      <x:c r="B35" t="n">
        <x:f>B34*(1-'01_SUPUESTOS'!Q2)+'01_SUPUESTOS'!N2</x:f>
        <x:v>3.00941693309826</x:v>
      </x:c>
      <x:c r="C35" t="n">
        <x:f>C34*(1-'01_SUPUESTOS'!Q2)+'01_SUPUESTOS'!O2</x:f>
        <x:v>0.8025111821595367</x:v>
      </x:c>
      <x:c r="D35" t="n">
        <x:f>D34*(1-'01_SUPUESTOS'!Q2)+'01_SUPUESTOS'!P2</x:f>
        <x:v>0</x:v>
      </x:c>
      <x:c r="E35" t="n">
        <x:f>SUM(B35:D35)</x:f>
        <x:v>3.8119281152577966</x:v>
      </x:c>
      <x:c r="F35" t="n">
        <x:f>B35*'01_SUPUESTOS'!R2</x:f>
        <x:v>210.6591853168782</x:v>
      </x:c>
      <x:c r="G35" t="n">
        <x:f>C35*'01_SUPUESTOS'!S2</x:f>
        <x:v>208.65290736147952</x:v>
      </x:c>
      <x:c r="H35" t="n">
        <x:f>D35*'01_SUPUESTOS'!T2</x:f>
        <x:v>0</x:v>
      </x:c>
      <x:c r="I35" t="n">
        <x:f>SUM(F35:H35)</x:f>
        <x:v>419.3120926783577</x:v>
      </x:c>
      <x:c r="J35" t="n">
        <x:f>B35*'01_SUPUESTOS'!B2+C35*'01_SUPUESTOS'!C2+D35*'01_SUPUESTOS'!D2</x:f>
        <x:v>2086.5290736147945</x:v>
      </x:c>
      <x:c r="K35" t="n">
        <x:f>MAX(F35-B35*'01_SUPUESTOS'!E2,0)*'01_SUPUESTOS'!H2+MAX(G35-C35*'01_SUPUESTOS'!F2,0)*'01_SUPUESTOS'!I2+MAX(H35-D35*'01_SUPUESTOS'!G2,0)*'01_SUPUESTOS'!J2</x:f>
        <x:v>0</x:v>
      </x:c>
      <x:c r="L35" t="n">
        <x:f>J35+K35</x:f>
        <x:v>2086.5290736147945</x:v>
      </x:c>
      <x:c r="M35" t="n">
        <x:f>I35*'01_SUPUESTOS'!U2</x:f>
        <x:v>8.386241853567155</x:v>
      </x:c>
      <x:c r="N35" t="n">
        <x:f>E35*'01_SUPUESTOS'!W2</x:f>
        <x:v>343.0735303732017</x:v>
      </x:c>
      <x:c r="O35" t="n">
        <x:f>M35+N35</x:f>
        <x:v>351.45977222676885</x:v>
      </x:c>
      <x:c r="P35" t="n">
        <x:f>SUM('01_SUPUESTOS'!V2,'01_SUPUESTOS'!X2:AB2)</x:f>
        <x:v>5063.08</x:v>
      </x:c>
      <x:c r="Q35" t="n">
        <x:f>L35-O35-P35</x:f>
        <x:v>-3328.0106986119745</x:v>
      </x:c>
      <x:c r="R35" t="n">
        <x:f>0</x:f>
        <x:v>0</x:v>
      </x:c>
      <x:c r="S35" t="n">
        <x:f>Q35-R35</x:f>
        <x:v>-3328.0106986119745</x:v>
      </x:c>
      <x:c r="T35" t="n">
        <x:f>T34+S35</x:f>
        <x:v>-145471.97359541274</x:v>
      </x:c>
      <x:c r="U35" t="n">
        <x:f>S35/(1+(1+'01_SUPUESTOS'!AF2)^(1/12)-1)^A35</x:f>
        <x:v>-1422.0199949166326</x:v>
      </x:c>
      <x:c r="V35" t="n">
        <x:f>IF(Q35&gt;=0,1,0)</x:f>
        <x:v>0</x:v>
      </x:c>
      <x:c r="W35" t="n">
        <x:f>IF(T35&gt;=0,1,0)</x:f>
        <x:v>0</x:v>
      </x:c>
    </x:row>
    <x:row r="36">
      <x:c r="A36" t="n">
        <x:f>35</x:f>
        <x:v>35</x:v>
      </x:c>
      <x:c r="B36" t="n">
        <x:f>B35*(1-'01_SUPUESTOS'!Q2)+'01_SUPUESTOS'!N2</x:f>
        <x:v>3.0540873404398208</x:v>
      </x:c>
      <x:c r="C36" t="n">
        <x:f>C35*(1-'01_SUPUESTOS'!Q2)+'01_SUPUESTOS'!O2</x:f>
        <x:v>0.8144232907839529</x:v>
      </x:c>
      <x:c r="D36" t="n">
        <x:f>D35*(1-'01_SUPUESTOS'!Q2)+'01_SUPUESTOS'!P2</x:f>
        <x:v>0</x:v>
      </x:c>
      <x:c r="E36" t="n">
        <x:f>SUM(B36:D36)</x:f>
        <x:v>3.868510631223774</x:v>
      </x:c>
      <x:c r="F36" t="n">
        <x:f>B36*'01_SUPUESTOS'!R2</x:f>
        <x:v>213.78611383078746</x:v>
      </x:c>
      <x:c r="G36" t="n">
        <x:f>C36*'01_SUPUESTOS'!S2</x:f>
        <x:v>211.75005560382775</x:v>
      </x:c>
      <x:c r="H36" t="n">
        <x:f>D36*'01_SUPUESTOS'!T2</x:f>
        <x:v>0</x:v>
      </x:c>
      <x:c r="I36" t="n">
        <x:f>SUM(F36:H36)</x:f>
        <x:v>425.5361694346152</x:v>
      </x:c>
      <x:c r="J36" t="n">
        <x:f>B36*'01_SUPUESTOS'!B2+C36*'01_SUPUESTOS'!C2+D36*'01_SUPUESTOS'!D2</x:f>
        <x:v>2117.5005560382765</x:v>
      </x:c>
      <x:c r="K36" t="n">
        <x:f>MAX(F36-B36*'01_SUPUESTOS'!E2,0)*'01_SUPUESTOS'!H2+MAX(G36-C36*'01_SUPUESTOS'!F2,0)*'01_SUPUESTOS'!I2+MAX(H36-D36*'01_SUPUESTOS'!G2,0)*'01_SUPUESTOS'!J2</x:f>
        <x:v>0</x:v>
      </x:c>
      <x:c r="L36" t="n">
        <x:f>J36+K36</x:f>
        <x:v>2117.5005560382765</x:v>
      </x:c>
      <x:c r="M36" t="n">
        <x:f>I36*'01_SUPUESTOS'!U2</x:f>
        <x:v>8.510723388692304</x:v>
      </x:c>
      <x:c r="N36" t="n">
        <x:f>E36*'01_SUPUESTOS'!W2</x:f>
        <x:v>348.1659568101396</x:v>
      </x:c>
      <x:c r="O36" t="n">
        <x:f>M36+N36</x:f>
        <x:v>356.67668019883195</x:v>
      </x:c>
      <x:c r="P36" t="n">
        <x:f>SUM('01_SUPUESTOS'!V2,'01_SUPUESTOS'!X2:AB2)</x:f>
        <x:v>5063.08</x:v>
      </x:c>
      <x:c r="Q36" t="n">
        <x:f>L36-O36-P36</x:f>
        <x:v>-3302.2561241605554</x:v>
      </x:c>
      <x:c r="R36" t="n">
        <x:f>0</x:f>
        <x:v>0</x:v>
      </x:c>
      <x:c r="S36" t="n">
        <x:f>Q36-R36</x:f>
        <x:v>-3302.2561241605554</x:v>
      </x:c>
      <x:c r="T36" t="n">
        <x:f>T35+S36</x:f>
        <x:v>-148774.22971957328</x:v>
      </x:c>
      <x:c r="U36" t="n">
        <x:f>S36/(1+(1+'01_SUPUESTOS'!AF2)^(1/12)-1)^A36</x:f>
        <x:v>-1376.1652785847068</x:v>
      </x:c>
      <x:c r="V36" t="n">
        <x:f>IF(Q36&gt;=0,1,0)</x:f>
        <x:v>0</x:v>
      </x:c>
      <x:c r="W36" t="n">
        <x:f>IF(T36&gt;=0,1,0)</x:f>
        <x:v>0</x:v>
      </x:c>
    </x:row>
    <x:row r="37">
      <x:c r="A37" t="n">
        <x:f>36</x:f>
        <x:v>36</x:v>
      </x:c>
      <x:c r="B37" t="n">
        <x:f>B36*(1-'01_SUPUESTOS'!Q2)+'01_SUPUESTOS'!N2</x:f>
        <x:v>3.097194283524427</x:v>
      </x:c>
      <x:c r="C37" t="n">
        <x:f>C36*(1-'01_SUPUESTOS'!Q2)+'01_SUPUESTOS'!O2</x:f>
        <x:v>0.8259184756065145</x:v>
      </x:c>
      <x:c r="D37" t="n">
        <x:f>D36*(1-'01_SUPUESTOS'!Q2)+'01_SUPUESTOS'!P2</x:f>
        <x:v>0</x:v>
      </x:c>
      <x:c r="E37" t="n">
        <x:f>SUM(B37:D37)</x:f>
        <x:v>3.923112759130942</x:v>
      </x:c>
      <x:c r="F37" t="n">
        <x:f>B37*'01_SUPUESTOS'!R2</x:f>
        <x:v>216.8035998467099</x:v>
      </x:c>
      <x:c r="G37" t="n">
        <x:f>C37*'01_SUPUESTOS'!S2</x:f>
        <x:v>214.73880365769378</x:v>
      </x:c>
      <x:c r="H37" t="n">
        <x:f>D37*'01_SUPUESTOS'!T2</x:f>
        <x:v>0</x:v>
      </x:c>
      <x:c r="I37" t="n">
        <x:f>SUM(F37:H37)</x:f>
        <x:v>431.54240350440364</x:v>
      </x:c>
      <x:c r="J37" t="n">
        <x:f>B37*'01_SUPUESTOS'!B2+C37*'01_SUPUESTOS'!C2+D37*'01_SUPUESTOS'!D2</x:f>
        <x:v>2147.388036576937</x:v>
      </x:c>
      <x:c r="K37" t="n">
        <x:f>MAX(F37-B37*'01_SUPUESTOS'!E2,0)*'01_SUPUESTOS'!H2+MAX(G37-C37*'01_SUPUESTOS'!F2,0)*'01_SUPUESTOS'!I2+MAX(H37-D37*'01_SUPUESTOS'!G2,0)*'01_SUPUESTOS'!J2</x:f>
        <x:v>0</x:v>
      </x:c>
      <x:c r="L37" t="n">
        <x:f>J37+K37</x:f>
        <x:v>2147.388036576937</x:v>
      </x:c>
      <x:c r="M37" t="n">
        <x:f>I37*'01_SUPUESTOS'!U2</x:f>
        <x:v>8.630848070088073</x:v>
      </x:c>
      <x:c r="N37" t="n">
        <x:f>E37*'01_SUPUESTOS'!W2</x:f>
        <x:v>353.08014832178475</x:v>
      </x:c>
      <x:c r="O37" t="n">
        <x:f>M37+N37</x:f>
        <x:v>361.7109963918728</x:v>
      </x:c>
      <x:c r="P37" t="n">
        <x:f>SUM('01_SUPUESTOS'!V2,'01_SUPUESTOS'!X2:AB2)</x:f>
        <x:v>5063.08</x:v>
      </x:c>
      <x:c r="Q37" t="n">
        <x:f>L37-O37-P37</x:f>
        <x:v>-3277.402959814936</x:v>
      </x:c>
      <x:c r="R37" t="n">
        <x:f>0</x:f>
        <x:v>0</x:v>
      </x:c>
      <x:c r="S37" t="n">
        <x:f>Q37-R37</x:f>
        <x:v>-3277.402959814936</x:v>
      </x:c>
      <x:c r="T37" t="n">
        <x:f>T36+S37</x:f>
        <x:v>-152051.63267938822</x:v>
      </x:c>
      <x:c r="U37" t="n">
        <x:f>S37/(1+(1+'01_SUPUESTOS'!AF2)^(1/12)-1)^A37</x:f>
        <x:v>-1332.0745657938169</x:v>
      </x:c>
      <x:c r="V37" t="n">
        <x:f>IF(Q37&gt;=0,1,0)</x:f>
        <x:v>0</x:v>
      </x:c>
      <x:c r="W37" t="n">
        <x:f>IF(T37&gt;=0,1,0)</x:f>
        <x:v>0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2" hidden="0" customWidth="1"/>
  </x:cols>
  <x:sheetData>
    <x:row r="1">
      <x:c r="A1" s="6" t="str">
        <x:v>Mes</x:v>
      </x:c>
      <x:c r="B1" s="6" t="str">
        <x:v>Clientes S</x:v>
      </x:c>
      <x:c r="C1" s="6" t="str">
        <x:v>Clientes P</x:v>
      </x:c>
      <x:c r="D1" s="6" t="str">
        <x:v>Clientes E</x:v>
      </x:c>
      <x:c r="E1" s="6" t="str">
        <x:v>Clientes Total</x:v>
      </x:c>
      <x:c r="F1" s="6" t="str">
        <x:v>Estudios S</x:v>
      </x:c>
      <x:c r="G1" s="6" t="str">
        <x:v>Estudios P</x:v>
      </x:c>
      <x:c r="H1" s="6" t="str">
        <x:v>Estudios E</x:v>
      </x:c>
      <x:c r="I1" s="6" t="str">
        <x:v>Estudios Total</x:v>
      </x:c>
      <x:c r="J1" s="6" t="str">
        <x:v>Suscripciones</x:v>
      </x:c>
      <x:c r="K1" s="6" t="str">
        <x:v>Excedentes</x:v>
      </x:c>
      <x:c r="L1" s="6" t="str">
        <x:v>Ingresos</x:v>
      </x:c>
      <x:c r="M1" s="6" t="str">
        <x:v>Cloud variable</x:v>
      </x:c>
      <x:c r="N1" s="6" t="str">
        <x:v>Soporte variable</x:v>
      </x:c>
      <x:c r="O1" s="6" t="str">
        <x:v>Variables total</x:v>
      </x:c>
      <x:c r="P1" s="6" t="str">
        <x:v>Fijos total</x:v>
      </x:c>
      <x:c r="Q1" s="6" t="str">
        <x:v>Operativo</x:v>
      </x:c>
      <x:c r="R1" s="6" t="str">
        <x:v>CAPEX</x:v>
      </x:c>
      <x:c r="S1" s="6" t="str">
        <x:v>Flujo neto</x:v>
      </x:c>
      <x:c r="T1" s="6" t="str">
        <x:v>Acumulado</x:v>
      </x:c>
      <x:c r="U1" s="6" t="str">
        <x:v>Flujo descontado</x:v>
      </x:c>
      <x:c r="V1" t="str">
        <x:v>Equilibrio flag</x:v>
      </x:c>
      <x:c r="W1" t="str">
        <x:v>Payback flag</x:v>
      </x:c>
    </x:row>
    <x:row r="2">
      <x:c r="A2" t="n">
        <x:f>1</x:f>
        <x:v>1</x:v>
      </x:c>
      <x:c r="B2" t="n">
        <x:f>'01_SUPUESTOS'!K3+'01_SUPUESTOS'!N3</x:f>
        <x:v>1.35</x:v>
      </x:c>
      <x:c r="C2" t="n">
        <x:f>'01_SUPUESTOS'!L3+'01_SUPUESTOS'!O3</x:f>
        <x:v>0.12</x:v>
      </x:c>
      <x:c r="D2" t="n">
        <x:f>'01_SUPUESTOS'!M3+'01_SUPUESTOS'!P3</x:f>
        <x:v>0.03</x:v>
      </x:c>
      <x:c r="E2" t="n">
        <x:f>SUM(B2:D2)</x:f>
        <x:v>1.5000000000000002</x:v>
      </x:c>
      <x:c r="F2" t="n">
        <x:f>B2*'01_SUPUESTOS'!R3</x:f>
        <x:v>175.5</x:v>
      </x:c>
      <x:c r="G2" t="n">
        <x:f>C2*'01_SUPUESTOS'!S3</x:f>
        <x:v>66</x:v>
      </x:c>
      <x:c r="H2" t="n">
        <x:f>D2*'01_SUPUESTOS'!T3</x:f>
        <x:v>48</x:v>
      </x:c>
      <x:c r="I2" t="n">
        <x:f>SUM(F2:H2)</x:f>
        <x:v>289.5</x:v>
      </x:c>
      <x:c r="J2" t="n">
        <x:f>B2*'01_SUPUESTOS'!B3+C2*'01_SUPUESTOS'!C3+D2*'01_SUPUESTOS'!D3</x:f>
        <x:v>1137</x:v>
      </x:c>
      <x:c r="K2" t="n">
        <x:f>MAX(F2-B2*'01_SUPUESTOS'!E3,0)*'01_SUPUESTOS'!H3+MAX(G2-C2*'01_SUPUESTOS'!F3,0)*'01_SUPUESTOS'!I3+MAX(H2-D2*'01_SUPUESTOS'!G3,0)*'01_SUPUESTOS'!J3</x:f>
        <x:v>156</x:v>
      </x:c>
      <x:c r="L2" t="n">
        <x:f>J2+K2</x:f>
        <x:v>1293</x:v>
      </x:c>
      <x:c r="M2" t="n">
        <x:f>I2*'01_SUPUESTOS'!U3</x:f>
        <x:v>1.93965</x:v>
      </x:c>
      <x:c r="N2" t="n">
        <x:f>E2*'01_SUPUESTOS'!W3</x:f>
        <x:v>90.00000000000001</x:v>
      </x:c>
      <x:c r="O2" t="n">
        <x:f>M2+N2</x:f>
        <x:v>91.93965000000001</x:v>
      </x:c>
      <x:c r="P2" t="n">
        <x:f>SUM('01_SUPUESTOS'!V3,'01_SUPUESTOS'!X3:AB3)</x:f>
        <x:v>8112.08</x:v>
      </x:c>
      <x:c r="Q2" t="n">
        <x:f>L2-O2-P2</x:f>
        <x:v>-6911.01965</x:v>
      </x:c>
      <x:c r="R2" t="n">
        <x:f>SUM('01_SUPUESTOS'!AC3:AE3)</x:f>
        <x:v>23000</x:v>
      </x:c>
      <x:c r="S2" t="n">
        <x:f>Q2-R2</x:f>
        <x:v>-29911.019650000002</x:v>
      </x:c>
      <x:c r="T2" t="n">
        <x:f>S2</x:f>
        <x:v>-29911.019650000002</x:v>
      </x:c>
      <x:c r="U2" t="n">
        <x:f>S2/(1+(1+'01_SUPUESTOS'!AF3)^(1/12)-1)^A2</x:f>
        <x:v>-29359.954873032602</x:v>
      </x:c>
      <x:c r="V2" t="n">
        <x:f>IF(Q2&gt;=0,1,0)</x:f>
        <x:v>0</x:v>
      </x:c>
      <x:c r="W2" t="n">
        <x:f>IF(T2&gt;=0,1,0)</x:f>
        <x:v>0</x:v>
      </x:c>
    </x:row>
    <x:row r="3">
      <x:c r="A3" t="n">
        <x:f>2</x:f>
        <x:v>2</x:v>
      </x:c>
      <x:c r="B3" t="n">
        <x:f>B2*(1-'01_SUPUESTOS'!Q3)+'01_SUPUESTOS'!N3</x:f>
        <x:v>1.673</x:v>
      </x:c>
      <x:c r="C3" t="n">
        <x:f>C2*(1-'01_SUPUESTOS'!Q3)+'01_SUPUESTOS'!O3</x:f>
        <x:v>0.23759999999999998</x:v>
      </x:c>
      <x:c r="D3" t="n">
        <x:f>D2*(1-'01_SUPUESTOS'!Q3)+'01_SUPUESTOS'!P3</x:f>
        <x:v>0.059399999999999994</x:v>
      </x:c>
      <x:c r="E3" t="n">
        <x:f>SUM(B3:D3)</x:f>
        <x:v>1.97</x:v>
      </x:c>
      <x:c r="F3" t="n">
        <x:f>B3*'01_SUPUESTOS'!R3</x:f>
        <x:v>217.49</x:v>
      </x:c>
      <x:c r="G3" t="n">
        <x:f>C3*'01_SUPUESTOS'!S3</x:f>
        <x:v>130.67999999999998</x:v>
      </x:c>
      <x:c r="H3" t="n">
        <x:f>D3*'01_SUPUESTOS'!T3</x:f>
        <x:v>95.03999999999999</x:v>
      </x:c>
      <x:c r="I3" t="n">
        <x:f>SUM(F3:H3)</x:f>
        <x:v>443.2099999999999</x:v>
      </x:c>
      <x:c r="J3" t="n">
        <x:f>B3*'01_SUPUESTOS'!B3+C3*'01_SUPUESTOS'!C3+D3*'01_SUPUESTOS'!D3</x:f>
        <x:v>1651.26</x:v>
      </x:c>
      <x:c r="K3" t="n">
        <x:f>MAX(F3-B3*'01_SUPUESTOS'!E3,0)*'01_SUPUESTOS'!H3+MAX(G3-C3*'01_SUPUESTOS'!F3,0)*'01_SUPUESTOS'!I3+MAX(H3-D3*'01_SUPUESTOS'!G3,0)*'01_SUPUESTOS'!J3</x:f>
        <x:v>228.8800000000001</x:v>
      </x:c>
      <x:c r="L3" t="n">
        <x:f>J3+K3</x:f>
        <x:v>1880.14</x:v>
      </x:c>
      <x:c r="M3" t="n">
        <x:f>I3*'01_SUPUESTOS'!U3</x:f>
        <x:v>2.9695069999999997</x:v>
      </x:c>
      <x:c r="N3" t="n">
        <x:f>E3*'01_SUPUESTOS'!W3</x:f>
        <x:v>118.2</x:v>
      </x:c>
      <x:c r="O3" t="n">
        <x:f>M3+N3</x:f>
        <x:v>121.169507</x:v>
      </x:c>
      <x:c r="P3" t="n">
        <x:f>SUM('01_SUPUESTOS'!V3,'01_SUPUESTOS'!X3:AB3)</x:f>
        <x:v>8112.08</x:v>
      </x:c>
      <x:c r="Q3" t="n">
        <x:f>L3-O3-P3</x:f>
        <x:v>-6353.109507</x:v>
      </x:c>
      <x:c r="R3" t="n">
        <x:f>0</x:f>
        <x:v>0</x:v>
      </x:c>
      <x:c r="S3" t="n">
        <x:f>Q3-R3</x:f>
        <x:v>-6353.109507</x:v>
      </x:c>
      <x:c r="T3" t="n">
        <x:f>T2+S3</x:f>
        <x:v>-36264.129157</x:v>
      </x:c>
      <x:c r="U3" t="n">
        <x:f>S3/(1+(1+'01_SUPUESTOS'!AF3)^(1/12)-1)^A3</x:f>
        <x:v>-6121.173260017069</x:v>
      </x:c>
      <x:c r="V3" t="n">
        <x:f>IF(Q3&gt;=0,1,0)</x:f>
        <x:v>0</x:v>
      </x:c>
      <x:c r="W3" t="n">
        <x:f>IF(T3&gt;=0,1,0)</x:f>
        <x:v>0</x:v>
      </x:c>
    </x:row>
    <x:row r="4">
      <x:c r="A4" t="n">
        <x:f>3</x:f>
        <x:v>3</x:v>
      </x:c>
      <x:c r="B4" t="n">
        <x:f>B3*(1-'01_SUPUESTOS'!Q3)+'01_SUPUESTOS'!N3</x:f>
        <x:v>1.9895399999999999</x:v>
      </x:c>
      <x:c r="C4" t="n">
        <x:f>C3*(1-'01_SUPUESTOS'!Q3)+'01_SUPUESTOS'!O3</x:f>
        <x:v>0.35284799999999994</x:v>
      </x:c>
      <x:c r="D4" t="n">
        <x:f>D3*(1-'01_SUPUESTOS'!Q3)+'01_SUPUESTOS'!P3</x:f>
        <x:v>0.08821199999999998</x:v>
      </x:c>
      <x:c r="E4" t="n">
        <x:f>SUM(B4:D4)</x:f>
        <x:v>2.4305999999999996</x:v>
      </x:c>
      <x:c r="F4" t="n">
        <x:f>B4*'01_SUPUESTOS'!R3</x:f>
        <x:v>258.6402</x:v>
      </x:c>
      <x:c r="G4" t="n">
        <x:f>C4*'01_SUPUESTOS'!S3</x:f>
        <x:v>194.06639999999996</x:v>
      </x:c>
      <x:c r="H4" t="n">
        <x:f>D4*'01_SUPUESTOS'!T3</x:f>
        <x:v>141.1392</x:v>
      </x:c>
      <x:c r="I4" t="n">
        <x:f>SUM(F4:H4)</x:f>
        <x:v>593.8457999999999</x:v>
      </x:c>
      <x:c r="J4" t="n">
        <x:f>B4*'01_SUPUESTOS'!B3+C4*'01_SUPUESTOS'!C3+D4*'01_SUPUESTOS'!D3</x:f>
        <x:v>2155.2348</x:v>
      </x:c>
      <x:c r="K4" t="n">
        <x:f>MAX(F4-B4*'01_SUPUESTOS'!E3,0)*'01_SUPUESTOS'!H3+MAX(G4-C4*'01_SUPUESTOS'!F3,0)*'01_SUPUESTOS'!I3+MAX(H4-D4*'01_SUPUESTOS'!G3,0)*'01_SUPUESTOS'!J3</x:f>
        <x:v>300.30239999999986</x:v>
      </x:c>
      <x:c r="L4" t="n">
        <x:f>J4+K4</x:f>
        <x:v>2455.5372</x:v>
      </x:c>
      <x:c r="M4" t="n">
        <x:f>I4*'01_SUPUESTOS'!U3</x:f>
        <x:v>3.97876686</x:v>
      </x:c>
      <x:c r="N4" t="n">
        <x:f>E4*'01_SUPUESTOS'!W3</x:f>
        <x:v>145.83599999999998</x:v>
      </x:c>
      <x:c r="O4" t="n">
        <x:f>M4+N4</x:f>
        <x:v>149.81476686</x:v>
      </x:c>
      <x:c r="P4" t="n">
        <x:f>SUM('01_SUPUESTOS'!V3,'01_SUPUESTOS'!X3:AB3)</x:f>
        <x:v>8112.08</x:v>
      </x:c>
      <x:c r="Q4" t="n">
        <x:f>L4-O4-P4</x:f>
        <x:v>-5806.35756686</x:v>
      </x:c>
      <x:c r="R4" t="n">
        <x:f>0</x:f>
        <x:v>0</x:v>
      </x:c>
      <x:c r="S4" t="n">
        <x:f>Q4-R4</x:f>
        <x:v>-5806.35756686</x:v>
      </x:c>
      <x:c r="T4" t="n">
        <x:f>T3+S4</x:f>
        <x:v>-42070.486723860005</x:v>
      </x:c>
      <x:c r="U4" t="n">
        <x:f>S4/(1+(1+'01_SUPUESTOS'!AF3)^(1/12)-1)^A4</x:f>
        <x:v>-5491.313947729944</x:v>
      </x:c>
      <x:c r="V4" t="n">
        <x:f>IF(Q4&gt;=0,1,0)</x:f>
        <x:v>0</x:v>
      </x:c>
      <x:c r="W4" t="n">
        <x:f>IF(T4&gt;=0,1,0)</x:f>
        <x:v>0</x:v>
      </x:c>
    </x:row>
    <x:row r="5">
      <x:c r="A5" t="n">
        <x:f>4</x:f>
        <x:v>4</x:v>
      </x:c>
      <x:c r="B5" t="n">
        <x:f>B4*(1-'01_SUPUESTOS'!Q3)+'01_SUPUESTOS'!N3</x:f>
        <x:v>2.2997492</x:v>
      </x:c>
      <x:c r="C5" t="n">
        <x:f>C4*(1-'01_SUPUESTOS'!Q3)+'01_SUPUESTOS'!O3</x:f>
        <x:v>0.46579103999999993</x:v>
      </x:c>
      <x:c r="D5" t="n">
        <x:f>D4*(1-'01_SUPUESTOS'!Q3)+'01_SUPUESTOS'!P3</x:f>
        <x:v>0.11644775999999998</x:v>
      </x:c>
      <x:c r="E5" t="n">
        <x:f>SUM(B5:D5)</x:f>
        <x:v>2.8819879999999998</x:v>
      </x:c>
      <x:c r="F5" t="n">
        <x:f>B5*'01_SUPUESTOS'!R3</x:f>
        <x:v>298.967396</x:v>
      </x:c>
      <x:c r="G5" t="n">
        <x:f>C5*'01_SUPUESTOS'!S3</x:f>
        <x:v>256.185072</x:v>
      </x:c>
      <x:c r="H5" t="n">
        <x:f>D5*'01_SUPUESTOS'!T3</x:f>
        <x:v>186.31641599999998</x:v>
      </x:c>
      <x:c r="I5" t="n">
        <x:f>SUM(F5:H5)</x:f>
        <x:v>741.468884</x:v>
      </x:c>
      <x:c r="J5" t="n">
        <x:f>B5*'01_SUPUESTOS'!B3+C5*'01_SUPUESTOS'!C3+D5*'01_SUPUESTOS'!D3</x:f>
        <x:v>2649.130104</x:v>
      </x:c>
      <x:c r="K5" t="n">
        <x:f>MAX(F5-B5*'01_SUPUESTOS'!E3,0)*'01_SUPUESTOS'!H3+MAX(G5-C5*'01_SUPUESTOS'!F3,0)*'01_SUPUESTOS'!I3+MAX(H5-D5*'01_SUPUESTOS'!G3,0)*'01_SUPUESTOS'!J3</x:f>
        <x:v>370.2963520000003</x:v>
      </x:c>
      <x:c r="L5" t="n">
        <x:f>J5+K5</x:f>
        <x:v>3019.426456</x:v>
      </x:c>
      <x:c r="M5" t="n">
        <x:f>I5*'01_SUPUESTOS'!U3</x:f>
        <x:v>4.967841522800001</x:v>
      </x:c>
      <x:c r="N5" t="n">
        <x:f>E5*'01_SUPUESTOS'!W3</x:f>
        <x:v>172.91928</x:v>
      </x:c>
      <x:c r="O5" t="n">
        <x:f>M5+N5</x:f>
        <x:v>177.8871215228</x:v>
      </x:c>
      <x:c r="P5" t="n">
        <x:f>SUM('01_SUPUESTOS'!V3,'01_SUPUESTOS'!X3:AB3)</x:f>
        <x:v>8112.08</x:v>
      </x:c>
      <x:c r="Q5" t="n">
        <x:f>L5-O5-P5</x:f>
        <x:v>-5270.5406655228</x:v>
      </x:c>
      <x:c r="R5" t="n">
        <x:f>0</x:f>
        <x:v>0</x:v>
      </x:c>
      <x:c r="S5" t="n">
        <x:f>Q5-R5</x:f>
        <x:v>-5270.5406655228</x:v>
      </x:c>
      <x:c r="T5" t="n">
        <x:f>T4+S5</x:f>
        <x:v>-47341.027389382805</x:v>
      </x:c>
      <x:c r="U5" t="n">
        <x:f>S5/(1+(1+'01_SUPUESTOS'!AF3)^(1/12)-1)^A5</x:f>
        <x:v>-4892.7365400385415</x:v>
      </x:c>
      <x:c r="V5" t="n">
        <x:f>IF(Q5&gt;=0,1,0)</x:f>
        <x:v>0</x:v>
      </x:c>
      <x:c r="W5" t="n">
        <x:f>IF(T5&gt;=0,1,0)</x:f>
        <x:v>0</x:v>
      </x:c>
    </x:row>
    <x:row r="6">
      <x:c r="A6" t="n">
        <x:f>5</x:f>
        <x:v>5</x:v>
      </x:c>
      <x:c r="B6" t="n">
        <x:f>B5*(1-'01_SUPUESTOS'!Q3)+'01_SUPUESTOS'!N3</x:f>
        <x:v>2.603754216</x:v>
      </x:c>
      <x:c r="C6" t="n">
        <x:f>C5*(1-'01_SUPUESTOS'!Q3)+'01_SUPUESTOS'!O3</x:f>
        <x:v>0.5764752192</x:v>
      </x:c>
      <x:c r="D6" t="n">
        <x:f>D5*(1-'01_SUPUESTOS'!Q3)+'01_SUPUESTOS'!P3</x:f>
        <x:v>0.1441188048</x:v>
      </x:c>
      <x:c r="E6" t="n">
        <x:f>SUM(B6:D6)</x:f>
        <x:v>3.3243482400000004</x:v>
      </x:c>
      <x:c r="F6" t="n">
        <x:f>B6*'01_SUPUESTOS'!R3</x:f>
        <x:v>338.48804808</x:v>
      </x:c>
      <x:c r="G6" t="n">
        <x:f>C6*'01_SUPUESTOS'!S3</x:f>
        <x:v>317.06137056</x:v>
      </x:c>
      <x:c r="H6" t="n">
        <x:f>D6*'01_SUPUESTOS'!T3</x:f>
        <x:v>230.59008768</x:v>
      </x:c>
      <x:c r="I6" t="n">
        <x:f>SUM(F6:H6)</x:f>
        <x:v>886.13950632</x:v>
      </x:c>
      <x:c r="J6" t="n">
        <x:f>B6*'01_SUPUESTOS'!B3+C6*'01_SUPUESTOS'!C3+D6*'01_SUPUESTOS'!D3</x:f>
        <x:v>3133.1475019199997</x:v>
      </x:c>
      <x:c r="K6" t="n">
        <x:f>MAX(F6-B6*'01_SUPUESTOS'!E3,0)*'01_SUPUESTOS'!H3+MAX(G6-C6*'01_SUPUESTOS'!F3,0)*'01_SUPUESTOS'!I3+MAX(H6-D6*'01_SUPUESTOS'!G3,0)*'01_SUPUESTOS'!J3</x:f>
        <x:v>438.89042496</x:v>
      </x:c>
      <x:c r="L6" t="n">
        <x:f>J6+K6</x:f>
        <x:v>3572.0379268799998</x:v>
      </x:c>
      <x:c r="M6" t="n">
        <x:f>I6*'01_SUPUESTOS'!U3</x:f>
        <x:v>5.937134692344</x:v>
      </x:c>
      <x:c r="N6" t="n">
        <x:f>E6*'01_SUPUESTOS'!W3</x:f>
        <x:v>199.46089440000003</x:v>
      </x:c>
      <x:c r="O6" t="n">
        <x:f>M6+N6</x:f>
        <x:v>205.39802909234402</x:v>
      </x:c>
      <x:c r="P6" t="n">
        <x:f>SUM('01_SUPUESTOS'!V3,'01_SUPUESTOS'!X3:AB3)</x:f>
        <x:v>8112.08</x:v>
      </x:c>
      <x:c r="Q6" t="n">
        <x:f>L6-O6-P6</x:f>
        <x:v>-4745.440102212344</x:v>
      </x:c>
      <x:c r="R6" t="n">
        <x:f>0</x:f>
        <x:v>0</x:v>
      </x:c>
      <x:c r="S6" t="n">
        <x:f>Q6-R6</x:f>
        <x:v>-4745.440102212344</x:v>
      </x:c>
      <x:c r="T6" t="n">
        <x:f>T5+S6</x:f>
        <x:v>-52086.46749159515</x:v>
      </x:c>
      <x:c r="U6" t="n">
        <x:f>S6/(1+(1+'01_SUPUESTOS'!AF3)^(1/12)-1)^A6</x:f>
        <x:v>-4324.1158804256</x:v>
      </x:c>
      <x:c r="V6" t="n">
        <x:f>IF(Q6&gt;=0,1,0)</x:f>
        <x:v>0</x:v>
      </x:c>
      <x:c r="W6" t="n">
        <x:f>IF(T6&gt;=0,1,0)</x:f>
        <x:v>0</x:v>
      </x:c>
    </x:row>
    <x:row r="7">
      <x:c r="A7" t="n">
        <x:f>6</x:f>
        <x:v>6</x:v>
      </x:c>
      <x:c r="B7" t="n">
        <x:f>B6*(1-'01_SUPUESTOS'!Q3)+'01_SUPUESTOS'!N3</x:f>
        <x:v>2.90167913168</x:v>
      </x:c>
      <x:c r="C7" t="n">
        <x:f>C6*(1-'01_SUPUESTOS'!Q3)+'01_SUPUESTOS'!O3</x:f>
        <x:v>0.684945714816</x:v>
      </x:c>
      <x:c r="D7" t="n">
        <x:f>D6*(1-'01_SUPUESTOS'!Q3)+'01_SUPUESTOS'!P3</x:f>
        <x:v>0.171236428704</x:v>
      </x:c>
      <x:c r="E7" t="n">
        <x:f>SUM(B7:D7)</x:f>
        <x:v>3.7578612752</x:v>
      </x:c>
      <x:c r="F7" t="n">
        <x:f>B7*'01_SUPUESTOS'!R3</x:f>
        <x:v>377.2182871184</x:v>
      </x:c>
      <x:c r="G7" t="n">
        <x:f>C7*'01_SUPUESTOS'!S3</x:f>
        <x:v>376.7201431488</x:v>
      </x:c>
      <x:c r="H7" t="n">
        <x:f>D7*'01_SUPUESTOS'!T3</x:f>
        <x:v>273.97828592639996</x:v>
      </x:c>
      <x:c r="I7" t="n">
        <x:f>SUM(F7:H7)</x:f>
        <x:v>1027.9167161935998</x:v>
      </x:c>
      <x:c r="J7" t="n">
        <x:f>B7*'01_SUPUESTOS'!B3+C7*'01_SUPUESTOS'!C3+D7*'01_SUPUESTOS'!D3</x:f>
        <x:v>3607.4845518816</x:v>
      </x:c>
      <x:c r="K7" t="n">
        <x:f>MAX(F7-B7*'01_SUPUESTOS'!E3,0)*'01_SUPUESTOS'!H3+MAX(G7-C7*'01_SUPUESTOS'!F3,0)*'01_SUPUESTOS'!I3+MAX(H7-D7*'01_SUPUESTOS'!G3,0)*'01_SUPUESTOS'!J3</x:f>
        <x:v>506.1126164607998</x:v>
      </x:c>
      <x:c r="L7" t="n">
        <x:f>J7+K7</x:f>
        <x:v>4113.5971683423995</x:v>
      </x:c>
      <x:c r="M7" t="n">
        <x:f>I7*'01_SUPUESTOS'!U3</x:f>
        <x:v>6.887041998497119</x:v>
      </x:c>
      <x:c r="N7" t="n">
        <x:f>E7*'01_SUPUESTOS'!W3</x:f>
        <x:v>225.471676512</x:v>
      </x:c>
      <x:c r="O7" t="n">
        <x:f>M7+N7</x:f>
        <x:v>232.3587185104971</x:v>
      </x:c>
      <x:c r="P7" t="n">
        <x:f>SUM('01_SUPUESTOS'!V3,'01_SUPUESTOS'!X3:AB3)</x:f>
        <x:v>8112.08</x:v>
      </x:c>
      <x:c r="Q7" t="n">
        <x:f>L7-O7-P7</x:f>
        <x:v>-4230.8415501680975</x:v>
      </x:c>
      <x:c r="R7" t="n">
        <x:f>0</x:f>
        <x:v>0</x:v>
      </x:c>
      <x:c r="S7" t="n">
        <x:f>Q7-R7</x:f>
        <x:v>-4230.8415501680975</x:v>
      </x:c>
      <x:c r="T7" t="n">
        <x:f>T6+S7</x:f>
        <x:v>-56317.30904176325</x:v>
      </x:c>
      <x:c r="U7" t="n">
        <x:f>S7/(1+(1+'01_SUPUESTOS'!AF3)^(1/12)-1)^A7</x:f>
        <x:v>-3784.179723282584</x:v>
      </x:c>
      <x:c r="V7" t="n">
        <x:f>IF(Q7&gt;=0,1,0)</x:f>
        <x:v>0</x:v>
      </x:c>
      <x:c r="W7" t="n">
        <x:f>IF(T7&gt;=0,1,0)</x:f>
        <x:v>0</x:v>
      </x:c>
    </x:row>
    <x:row r="8">
      <x:c r="A8" t="n">
        <x:f>7</x:f>
        <x:v>7</x:v>
      </x:c>
      <x:c r="B8" t="n">
        <x:f>B7*(1-'01_SUPUESTOS'!Q3)+'01_SUPUESTOS'!N3</x:f>
        <x:v>3.1936455490464</x:v>
      </x:c>
      <x:c r="C8" t="n">
        <x:f>C7*(1-'01_SUPUESTOS'!Q3)+'01_SUPUESTOS'!O3</x:f>
        <x:v>0.79124680051968</x:v>
      </x:c>
      <x:c r="D8" t="n">
        <x:f>D7*(1-'01_SUPUESTOS'!Q3)+'01_SUPUESTOS'!P3</x:f>
        <x:v>0.19781170012992</x:v>
      </x:c>
      <x:c r="E8" t="n">
        <x:f>SUM(B8:D8)</x:f>
        <x:v>4.1827040496959995</x:v>
      </x:c>
      <x:c r="F8" t="n">
        <x:f>B8*'01_SUPUESTOS'!R3</x:f>
        <x:v>415.173921376032</x:v>
      </x:c>
      <x:c r="G8" t="n">
        <x:f>C8*'01_SUPUESTOS'!S3</x:f>
        <x:v>435.185740285824</x:v>
      </x:c>
      <x:c r="H8" t="n">
        <x:f>D8*'01_SUPUESTOS'!T3</x:f>
        <x:v>316.498720207872</x:v>
      </x:c>
      <x:c r="I8" t="n">
        <x:f>SUM(F8:H8)</x:f>
        <x:v>1166.858381869728</x:v>
      </x:c>
      <x:c r="J8" t="n">
        <x:f>B8*'01_SUPUESTOS'!B3+C8*'01_SUPUESTOS'!C3+D8*'01_SUPUESTOS'!D3</x:f>
        <x:v>4072.334860843968</x:v>
      </x:c>
      <x:c r="K8" t="n">
        <x:f>MAX(F8-B8*'01_SUPUESTOS'!E3,0)*'01_SUPUESTOS'!H3+MAX(G8-C8*'01_SUPUESTOS'!F3,0)*'01_SUPUESTOS'!I3+MAX(H8-D8*'01_SUPUESTOS'!G3,0)*'01_SUPUESTOS'!J3</x:f>
        <x:v>571.9903641315844</x:v>
      </x:c>
      <x:c r="L8" t="n">
        <x:f>J8+K8</x:f>
        <x:v>4644.325224975552</x:v>
      </x:c>
      <x:c r="M8" t="n">
        <x:f>I8*'01_SUPUESTOS'!U3</x:f>
        <x:v>7.817951158527178</x:v>
      </x:c>
      <x:c r="N8" t="n">
        <x:f>E8*'01_SUPUESTOS'!W3</x:f>
        <x:v>250.96224298175997</x:v>
      </x:c>
      <x:c r="O8" t="n">
        <x:f>M8+N8</x:f>
        <x:v>258.78019414028716</x:v>
      </x:c>
      <x:c r="P8" t="n">
        <x:f>SUM('01_SUPUESTOS'!V3,'01_SUPUESTOS'!X3:AB3)</x:f>
        <x:v>8112.08</x:v>
      </x:c>
      <x:c r="Q8" t="n">
        <x:f>L8-O8-P8</x:f>
        <x:v>-3726.5349691647343</x:v>
      </x:c>
      <x:c r="R8" t="n">
        <x:f>0</x:f>
        <x:v>0</x:v>
      </x:c>
      <x:c r="S8" t="n">
        <x:f>Q8-R8</x:f>
        <x:v>-3726.5349691647343</x:v>
      </x:c>
      <x:c r="T8" t="n">
        <x:f>T7+S8</x:f>
        <x:v>-60043.84401092798</x:v>
      </x:c>
      <x:c r="U8" t="n">
        <x:f>S8/(1+(1+'01_SUPUESTOS'!AF3)^(1/12)-1)^A8</x:f>
        <x:v>-3271.7066746565447</x:v>
      </x:c>
      <x:c r="V8" t="n">
        <x:f>IF(Q8&gt;=0,1,0)</x:f>
        <x:v>0</x:v>
      </x:c>
      <x:c r="W8" t="n">
        <x:f>IF(T8&gt;=0,1,0)</x:f>
        <x:v>0</x:v>
      </x:c>
    </x:row>
    <x:row r="9">
      <x:c r="A9" t="n">
        <x:f>8</x:f>
        <x:v>8</x:v>
      </x:c>
      <x:c r="B9" t="n">
        <x:f>B8*(1-'01_SUPUESTOS'!Q3)+'01_SUPUESTOS'!N3</x:f>
        <x:v>3.479772638065472</x:v>
      </x:c>
      <x:c r="C9" t="n">
        <x:f>C8*(1-'01_SUPUESTOS'!Q3)+'01_SUPUESTOS'!O3</x:f>
        <x:v>0.8954218645092864</x:v>
      </x:c>
      <x:c r="D9" t="n">
        <x:f>D8*(1-'01_SUPUESTOS'!Q3)+'01_SUPUESTOS'!P3</x:f>
        <x:v>0.2238554661273216</x:v>
      </x:c>
      <x:c r="E9" t="n">
        <x:f>SUM(B9:D9)</x:f>
        <x:v>4.59904996870208</x:v>
      </x:c>
      <x:c r="F9" t="n">
        <x:f>B9*'01_SUPUESTOS'!R3</x:f>
        <x:v>452.37044294851137</x:v>
      </x:c>
      <x:c r="G9" t="n">
        <x:f>C9*'01_SUPUESTOS'!S3</x:f>
        <x:v>492.4820254801075</x:v>
      </x:c>
      <x:c r="H9" t="n">
        <x:f>D9*'01_SUPUESTOS'!T3</x:f>
        <x:v>358.16874580371456</x:v>
      </x:c>
      <x:c r="I9" t="n">
        <x:f>SUM(F9:H9)</x:f>
        <x:v>1303.0212142323335</x:v>
      </x:c>
      <x:c r="J9" t="n">
        <x:f>B9*'01_SUPUESTOS'!B3+C9*'01_SUPUESTOS'!C3+D9*'01_SUPUESTOS'!D3</x:f>
        <x:v>4527.888163627089</x:v>
      </x:c>
      <x:c r="K9" t="n">
        <x:f>MAX(F9-B9*'01_SUPUESTOS'!E3,0)*'01_SUPUESTOS'!H3+MAX(G9-C9*'01_SUPUESTOS'!F3,0)*'01_SUPUESTOS'!I3+MAX(H9-D9*'01_SUPUESTOS'!G3,0)*'01_SUPUESTOS'!J3</x:f>
        <x:v>636.5505568489522</x:v>
      </x:c>
      <x:c r="L9" t="n">
        <x:f>J9+K9</x:f>
        <x:v>5164.438720476041</x:v>
      </x:c>
      <x:c r="M9" t="n">
        <x:f>I9*'01_SUPUESTOS'!U3</x:f>
        <x:v>8.730242135356635</x:v>
      </x:c>
      <x:c r="N9" t="n">
        <x:f>E9*'01_SUPUESTOS'!W3</x:f>
        <x:v>275.94299812212483</x:v>
      </x:c>
      <x:c r="O9" t="n">
        <x:f>M9+N9</x:f>
        <x:v>284.6732402574815</x:v>
      </x:c>
      <x:c r="P9" t="n">
        <x:f>SUM('01_SUPUESTOS'!V3,'01_SUPUESTOS'!X3:AB3)</x:f>
        <x:v>8112.08</x:v>
      </x:c>
      <x:c r="Q9" t="n">
        <x:f>L9-O9-P9</x:f>
        <x:v>-3232.31451978144</x:v>
      </x:c>
      <x:c r="R9" t="n">
        <x:f>0</x:f>
        <x:v>0</x:v>
      </x:c>
      <x:c r="S9" t="n">
        <x:f>Q9-R9</x:f>
        <x:v>-3232.31451978144</x:v>
      </x:c>
      <x:c r="T9" t="n">
        <x:f>T8+S9</x:f>
        <x:v>-63276.15853070942</x:v>
      </x:c>
      <x:c r="U9" t="n">
        <x:f>S9/(1+(1+'01_SUPUESTOS'!AF3)^(1/12)-1)^A9</x:f>
        <x:v>-2785.5242122043564</x:v>
      </x:c>
      <x:c r="V9" t="n">
        <x:f>IF(Q9&gt;=0,1,0)</x:f>
        <x:v>0</x:v>
      </x:c>
      <x:c r="W9" t="n">
        <x:f>IF(T9&gt;=0,1,0)</x:f>
        <x:v>0</x:v>
      </x:c>
    </x:row>
    <x:row r="10">
      <x:c r="A10" t="n">
        <x:f>9</x:f>
        <x:v>9</x:v>
      </x:c>
      <x:c r="B10" t="n">
        <x:f>B9*(1-'01_SUPUESTOS'!Q3)+'01_SUPUESTOS'!N3</x:f>
        <x:v>3.760177185304163</x:v>
      </x:c>
      <x:c r="C10" t="n">
        <x:f>C9*(1-'01_SUPUESTOS'!Q3)+'01_SUPUESTOS'!O3</x:f>
        <x:v>0.9975134272191006</x:v>
      </x:c>
      <x:c r="D10" t="n">
        <x:f>D9*(1-'01_SUPUESTOS'!Q3)+'01_SUPUESTOS'!P3</x:f>
        <x:v>0.24937835680477516</x:v>
      </x:c>
      <x:c r="E10" t="n">
        <x:f>SUM(B10:D10)</x:f>
        <x:v>5.007068969328039</x:v>
      </x:c>
      <x:c r="F10" t="n">
        <x:f>B10*'01_SUPUESTOS'!R3</x:f>
        <x:v>488.8230340895412</x:v>
      </x:c>
      <x:c r="G10" t="n">
        <x:f>C10*'01_SUPUESTOS'!S3</x:f>
        <x:v>548.6323849705053</x:v>
      </x:c>
      <x:c r="H10" t="n">
        <x:f>D10*'01_SUPUESTOS'!T3</x:f>
        <x:v>399.00537088764025</x:v>
      </x:c>
      <x:c r="I10" t="n">
        <x:f>SUM(F10:H10)</x:f>
        <x:v>1436.4607899476869</x:v>
      </x:c>
      <x:c r="J10" t="n">
        <x:f>B10*'01_SUPUESTOS'!B3+C10*'01_SUPUESTOS'!C3+D10*'01_SUPUESTOS'!D3</x:f>
        <x:v>4974.330400354547</x:v>
      </x:c>
      <x:c r="K10" t="n">
        <x:f>MAX(F10-B10*'01_SUPUESTOS'!E3,0)*'01_SUPUESTOS'!H3+MAX(G10-C10*'01_SUPUESTOS'!F3,0)*'01_SUPUESTOS'!I3+MAX(H10-D10*'01_SUPUESTOS'!G3,0)*'01_SUPUESTOS'!J3</x:f>
        <x:v>699.8195457119733</x:v>
      </x:c>
      <x:c r="L10" t="n">
        <x:f>J10+K10</x:f>
        <x:v>5674.149946066521</x:v>
      </x:c>
      <x:c r="M10" t="n">
        <x:f>I10*'01_SUPUESTOS'!U3</x:f>
        <x:v>9.624287292649502</x:v>
      </x:c>
      <x:c r="N10" t="n">
        <x:f>E10*'01_SUPUESTOS'!W3</x:f>
        <x:v>300.42413815968234</x:v>
      </x:c>
      <x:c r="O10" t="n">
        <x:f>M10+N10</x:f>
        <x:v>310.04842545233186</x:v>
      </x:c>
      <x:c r="P10" t="n">
        <x:f>SUM('01_SUPUESTOS'!V3,'01_SUPUESTOS'!X3:AB3)</x:f>
        <x:v>8112.08</x:v>
      </x:c>
      <x:c r="Q10" t="n">
        <x:f>L10-O10-P10</x:f>
        <x:v>-2747.9784793858107</x:v>
      </x:c>
      <x:c r="R10" t="n">
        <x:f>0</x:f>
        <x:v>0</x:v>
      </x:c>
      <x:c r="S10" t="n">
        <x:f>Q10-R10</x:f>
        <x:v>-2747.9784793858107</x:v>
      </x:c>
      <x:c r="T10" t="n">
        <x:f>T9+S10</x:f>
        <x:v>-66024.13701009523</x:v>
      </x:c>
      <x:c r="U10" t="n">
        <x:f>S10/(1+(1+'01_SUPUESTOS'!AF3)^(1/12)-1)^A10</x:f>
        <x:v>-2324.5067813245264</x:v>
      </x:c>
      <x:c r="V10" t="n">
        <x:f>IF(Q10&gt;=0,1,0)</x:f>
        <x:v>0</x:v>
      </x:c>
      <x:c r="W10" t="n">
        <x:f>IF(T10&gt;=0,1,0)</x:f>
        <x:v>0</x:v>
      </x:c>
    </x:row>
    <x:row r="11">
      <x:c r="A11" t="n">
        <x:f>10</x:f>
        <x:v>10</x:v>
      </x:c>
      <x:c r="B11" t="n">
        <x:f>B10*(1-'01_SUPUESTOS'!Q3)+'01_SUPUESTOS'!N3</x:f>
        <x:v>4.0349736415980795</x:v>
      </x:c>
      <x:c r="C11" t="n">
        <x:f>C10*(1-'01_SUPUESTOS'!Q3)+'01_SUPUESTOS'!O3</x:f>
        <x:v>1.0975631586747188</x:v>
      </x:c>
      <x:c r="D11" t="n">
        <x:f>D10*(1-'01_SUPUESTOS'!Q3)+'01_SUPUESTOS'!P3</x:f>
        <x:v>0.2743907896686797</x:v>
      </x:c>
      <x:c r="E11" t="n">
        <x:f>SUM(B11:D11)</x:f>
        <x:v>5.406927589941478</x:v>
      </x:c>
      <x:c r="F11" t="n">
        <x:f>B11*'01_SUPUESTOS'!R3</x:f>
        <x:v>524.5465734077503</x:v>
      </x:c>
      <x:c r="G11" t="n">
        <x:f>C11*'01_SUPUESTOS'!S3</x:f>
        <x:v>603.6597372710953</x:v>
      </x:c>
      <x:c r="H11" t="n">
        <x:f>D11*'01_SUPUESTOS'!T3</x:f>
        <x:v>439.0252634698875</x:v>
      </x:c>
      <x:c r="I11" t="n">
        <x:f>SUM(F11:H11)</x:f>
        <x:v>1567.231574148733</x:v>
      </x:c>
      <x:c r="J11" t="n">
        <x:f>B11*'01_SUPUESTOS'!B3+C11*'01_SUPUESTOS'!C3+D11*'01_SUPUESTOS'!D3</x:f>
        <x:v>5411.843792347456</x:v>
      </x:c>
      <x:c r="K11" t="n">
        <x:f>MAX(F11-B11*'01_SUPUESTOS'!E3,0)*'01_SUPUESTOS'!H3+MAX(G11-C11*'01_SUPUESTOS'!F3,0)*'01_SUPUESTOS'!I3+MAX(H11-D11*'01_SUPUESTOS'!G3,0)*'01_SUPUESTOS'!J3</x:f>
        <x:v>761.8231547977334</x:v>
      </x:c>
      <x:c r="L11" t="n">
        <x:f>J11+K11</x:f>
        <x:v>6173.66694714519</x:v>
      </x:c>
      <x:c r="M11" t="n">
        <x:f>I11*'01_SUPUESTOS'!U3</x:f>
        <x:v>10.500451546796512</x:v>
      </x:c>
      <x:c r="N11" t="n">
        <x:f>E11*'01_SUPUESTOS'!W3</x:f>
        <x:v>324.4156553964887</x:v>
      </x:c>
      <x:c r="O11" t="n">
        <x:f>M11+N11</x:f>
        <x:v>334.91610694328523</x:v>
      </x:c>
      <x:c r="P11" t="n">
        <x:f>SUM('01_SUPUESTOS'!V3,'01_SUPUESTOS'!X3:AB3)</x:f>
        <x:v>8112.08</x:v>
      </x:c>
      <x:c r="Q11" t="n">
        <x:f>L11-O11-P11</x:f>
        <x:v>-2273.329159798095</x:v>
      </x:c>
      <x:c r="R11" t="n">
        <x:f>0</x:f>
        <x:v>0</x:v>
      </x:c>
      <x:c r="S11" t="n">
        <x:f>Q11-R11</x:f>
        <x:v>-2273.329159798095</x:v>
      </x:c>
      <x:c r="T11" t="n">
        <x:f>T10+S11</x:f>
        <x:v>-68297.46616989333</x:v>
      </x:c>
      <x:c r="U11" t="n">
        <x:f>S11/(1+(1+'01_SUPUESTOS'!AF3)^(1/12)-1)^A11</x:f>
        <x:v>-1887.5739645524554</x:v>
      </x:c>
      <x:c r="V11" t="n">
        <x:f>IF(Q11&gt;=0,1,0)</x:f>
        <x:v>0</x:v>
      </x:c>
      <x:c r="W11" t="n">
        <x:f>IF(T11&gt;=0,1,0)</x:f>
        <x:v>0</x:v>
      </x:c>
    </x:row>
    <x:row r="12">
      <x:c r="A12" t="n">
        <x:f>11</x:f>
        <x:v>11</x:v>
      </x:c>
      <x:c r="B12" t="n">
        <x:f>B11*(1-'01_SUPUESTOS'!Q3)+'01_SUPUESTOS'!N3</x:f>
        <x:v>4.304274168766118</x:v>
      </x:c>
      <x:c r="C12" t="n">
        <x:f>C11*(1-'01_SUPUESTOS'!Q3)+'01_SUPUESTOS'!O3</x:f>
        <x:v>1.1956118955012243</x:v>
      </x:c>
      <x:c r="D12" t="n">
        <x:f>D11*(1-'01_SUPUESTOS'!Q3)+'01_SUPUESTOS'!P3</x:f>
        <x:v>0.29890297387530607</x:v>
      </x:c>
      <x:c r="E12" t="n">
        <x:f>SUM(B12:D12)</x:f>
        <x:v>5.7987890381426475</x:v>
      </x:c>
      <x:c r="F12" t="n">
        <x:f>B12*'01_SUPUESTOS'!R3</x:f>
        <x:v>559.5556419395954</x:v>
      </x:c>
      <x:c r="G12" t="n">
        <x:f>C12*'01_SUPUESTOS'!S3</x:f>
        <x:v>657.5865425256734</x:v>
      </x:c>
      <x:c r="H12" t="n">
        <x:f>D12*'01_SUPUESTOS'!T3</x:f>
        <x:v>478.2447582004897</x:v>
      </x:c>
      <x:c r="I12" t="n">
        <x:f>SUM(F12:H12)</x:f>
        <x:v>1695.3869426657584</x:v>
      </x:c>
      <x:c r="J12" t="n">
        <x:f>B12*'01_SUPUESTOS'!B3+C12*'01_SUPUESTOS'!C3+D12*'01_SUPUESTOS'!D3</x:f>
        <x:v>5840.6069165005065</x:v>
      </x:c>
      <x:c r="K12" t="n">
        <x:f>MAX(F12-B12*'01_SUPUESTOS'!E3,0)*'01_SUPUESTOS'!H3+MAX(G12-C12*'01_SUPUESTOS'!F3,0)*'01_SUPUESTOS'!I3+MAX(H12-D12*'01_SUPUESTOS'!G3,0)*'01_SUPUESTOS'!J3</x:f>
        <x:v>822.5866917017793</x:v>
      </x:c>
      <x:c r="L12" t="n">
        <x:f>J12+K12</x:f>
        <x:v>6663.193608202286</x:v>
      </x:c>
      <x:c r="M12" t="n">
        <x:f>I12*'01_SUPUESTOS'!U3</x:f>
        <x:v>11.359092515860581</x:v>
      </x:c>
      <x:c r="N12" t="n">
        <x:f>E12*'01_SUPUESTOS'!W3</x:f>
        <x:v>347.92734228855886</x:v>
      </x:c>
      <x:c r="O12" t="n">
        <x:f>M12+N12</x:f>
        <x:v>359.28643480441946</x:v>
      </x:c>
      <x:c r="P12" t="n">
        <x:f>SUM('01_SUPUESTOS'!V3,'01_SUPUESTOS'!X3:AB3)</x:f>
        <x:v>8112.08</x:v>
      </x:c>
      <x:c r="Q12" t="n">
        <x:f>L12-O12-P12</x:f>
        <x:v>-1808.1728266021337</x:v>
      </x:c>
      <x:c r="R12" t="n">
        <x:f>0</x:f>
        <x:v>0</x:v>
      </x:c>
      <x:c r="S12" t="n">
        <x:f>Q12-R12</x:f>
        <x:v>-1808.1728266021337</x:v>
      </x:c>
      <x:c r="T12" t="n">
        <x:f>T11+S12</x:f>
        <x:v>-70105.63899649547</x:v>
      </x:c>
      <x:c r="U12" t="n">
        <x:f>S12/(1+(1+'01_SUPUESTOS'!AF3)^(1/12)-1)^A12</x:f>
        <x:v>-1473.6887214161077</x:v>
      </x:c>
      <x:c r="V12" t="n">
        <x:f>IF(Q12&gt;=0,1,0)</x:f>
        <x:v>0</x:v>
      </x:c>
      <x:c r="W12" t="n">
        <x:f>IF(T12&gt;=0,1,0)</x:f>
        <x:v>0</x:v>
      </x:c>
    </x:row>
    <x:row r="13">
      <x:c r="A13" t="n">
        <x:f>12</x:f>
        <x:v>12</x:v>
      </x:c>
      <x:c r="B13" t="n">
        <x:f>B12*(1-'01_SUPUESTOS'!Q3)+'01_SUPUESTOS'!N3</x:f>
        <x:v>4.568188685390795</x:v>
      </x:c>
      <x:c r="C13" t="n">
        <x:f>C12*(1-'01_SUPUESTOS'!Q3)+'01_SUPUESTOS'!O3</x:f>
        <x:v>1.2916996575911996</x:v>
      </x:c>
      <x:c r="D13" t="n">
        <x:f>D12*(1-'01_SUPUESTOS'!Q3)+'01_SUPUESTOS'!P3</x:f>
        <x:v>0.3229249143977999</x:v>
      </x:c>
      <x:c r="E13" t="n">
        <x:f>SUM(B13:D13)</x:f>
        <x:v>6.182813257379794</x:v>
      </x:c>
      <x:c r="F13" t="n">
        <x:f>B13*'01_SUPUESTOS'!R3</x:f>
        <x:v>593.8645291008033</x:v>
      </x:c>
      <x:c r="G13" t="n">
        <x:f>C13*'01_SUPUESTOS'!S3</x:f>
        <x:v>710.4348116751598</x:v>
      </x:c>
      <x:c r="H13" t="n">
        <x:f>D13*'01_SUPUESTOS'!T3</x:f>
        <x:v>516.6798630364799</x:v>
      </x:c>
      <x:c r="I13" t="n">
        <x:f>SUM(F13:H13)</x:f>
        <x:v>1820.979203812443</x:v>
      </x:c>
      <x:c r="J13" t="n">
        <x:f>B13*'01_SUPUESTOS'!B3+C13*'01_SUPUESTOS'!C3+D13*'01_SUPUESTOS'!D3</x:f>
        <x:v>6260.794778170496</x:v>
      </x:c>
      <x:c r="K13" t="n">
        <x:f>MAX(F13-B13*'01_SUPUESTOS'!E3,0)*'01_SUPUESTOS'!H3+MAX(G13-C13*'01_SUPUESTOS'!F3,0)*'01_SUPUESTOS'!I3+MAX(H13-D13*'01_SUPUESTOS'!G3,0)*'01_SUPUESTOS'!J3</x:f>
        <x:v>882.1349578677437</x:v>
      </x:c>
      <x:c r="L13" t="n">
        <x:f>J13+K13</x:f>
        <x:v>7142.92973603824</x:v>
      </x:c>
      <x:c r="M13" t="n">
        <x:f>I13*'01_SUPUESTOS'!U3</x:f>
        <x:v>12.20056066554337</x:v>
      </x:c>
      <x:c r="N13" t="n">
        <x:f>E13*'01_SUPUESTOS'!W3</x:f>
        <x:v>370.96879544278767</x:v>
      </x:c>
      <x:c r="O13" t="n">
        <x:f>M13+N13</x:f>
        <x:v>383.16935610833104</x:v>
      </x:c>
      <x:c r="P13" t="n">
        <x:f>SUM('01_SUPUESTOS'!V3,'01_SUPUESTOS'!X3:AB3)</x:f>
        <x:v>8112.08</x:v>
      </x:c>
      <x:c r="Q13" t="n">
        <x:f>L13-O13-P13</x:f>
        <x:v>-1352.3196200700913</x:v>
      </x:c>
      <x:c r="R13" t="n">
        <x:f>0</x:f>
        <x:v>0</x:v>
      </x:c>
      <x:c r="S13" t="n">
        <x:f>Q13-R13</x:f>
        <x:v>-1352.3196200700913</x:v>
      </x:c>
      <x:c r="T13" t="n">
        <x:f>T12+S13</x:f>
        <x:v>-71457.95861656556</x:v>
      </x:c>
      <x:c r="U13" t="n">
        <x:f>S13/(1+(1+'01_SUPUESTOS'!AF3)^(1/12)-1)^A13</x:f>
        <x:v>-1081.8556960560747</x:v>
      </x:c>
      <x:c r="V13" t="n">
        <x:f>IF(Q13&gt;=0,1,0)</x:f>
        <x:v>0</x:v>
      </x:c>
      <x:c r="W13" t="n">
        <x:f>IF(T13&gt;=0,1,0)</x:f>
        <x:v>0</x:v>
      </x:c>
    </x:row>
    <x:row r="14">
      <x:c r="A14" t="n">
        <x:f>13</x:f>
        <x:v>13</x:v>
      </x:c>
      <x:c r="B14" t="n">
        <x:f>B13*(1-'01_SUPUESTOS'!Q3)+'01_SUPUESTOS'!N3</x:f>
        <x:v>4.826824911682978</x:v>
      </x:c>
      <x:c r="C14" t="n">
        <x:f>C13*(1-'01_SUPUESTOS'!Q3)+'01_SUPUESTOS'!O3</x:f>
        <x:v>1.3858656644393754</x:v>
      </x:c>
      <x:c r="D14" t="n">
        <x:f>D13*(1-'01_SUPUESTOS'!Q3)+'01_SUPUESTOS'!P3</x:f>
        <x:v>0.34646641610984386</x:v>
      </x:c>
      <x:c r="E14" t="n">
        <x:f>SUM(B14:D14)</x:f>
        <x:v>6.5591569922321975</x:v>
      </x:c>
      <x:c r="F14" t="n">
        <x:f>B14*'01_SUPUESTOS'!R3</x:f>
        <x:v>627.4872385187872</x:v>
      </x:c>
      <x:c r="G14" t="n">
        <x:f>C14*'01_SUPUESTOS'!S3</x:f>
        <x:v>762.2261154416565</x:v>
      </x:c>
      <x:c r="H14" t="n">
        <x:f>D14*'01_SUPUESTOS'!T3</x:f>
        <x:v>554.3462657757502</x:v>
      </x:c>
      <x:c r="I14" t="n">
        <x:f>SUM(F14:H14)</x:f>
        <x:v>1944.059619736194</x:v>
      </x:c>
      <x:c r="J14" t="n">
        <x:f>B14*'01_SUPUESTOS'!B3+C14*'01_SUPUESTOS'!C3+D14*'01_SUPUESTOS'!D3</x:f>
        <x:v>6672.578882607085</x:v>
      </x:c>
      <x:c r="K14" t="n">
        <x:f>MAX(F14-B14*'01_SUPUESTOS'!E3,0)*'01_SUPUESTOS'!H3+MAX(G14-C14*'01_SUPUESTOS'!F3,0)*'01_SUPUESTOS'!I3+MAX(H14-D14*'01_SUPUESTOS'!G3,0)*'01_SUPUESTOS'!J3</x:f>
        <x:v>940.4922587103888</x:v>
      </x:c>
      <x:c r="L14" t="n">
        <x:f>J14+K14</x:f>
        <x:v>7613.071141317474</x:v>
      </x:c>
      <x:c r="M14" t="n">
        <x:f>I14*'01_SUPUESTOS'!U3</x:f>
        <x:v>13.025199452232501</x:v>
      </x:c>
      <x:c r="N14" t="n">
        <x:f>E14*'01_SUPUESTOS'!W3</x:f>
        <x:v>393.5494195339318</x:v>
      </x:c>
      <x:c r="O14" t="n">
        <x:f>M14+N14</x:f>
        <x:v>406.57461898616435</x:v>
      </x:c>
      <x:c r="P14" t="n">
        <x:f>SUM('01_SUPUESTOS'!V3,'01_SUPUESTOS'!X3:AB3)</x:f>
        <x:v>8112.08</x:v>
      </x:c>
      <x:c r="Q14" t="n">
        <x:f>L14-O14-P14</x:f>
        <x:v>-905.5834776686906</x:v>
      </x:c>
      <x:c r="R14" t="n">
        <x:f>0</x:f>
        <x:v>0</x:v>
      </x:c>
      <x:c r="S14" t="n">
        <x:f>Q14-R14</x:f>
        <x:v>-905.5834776686906</x:v>
      </x:c>
      <x:c r="T14" t="n">
        <x:f>T13+S14</x:f>
        <x:v>-72363.54209423426</x:v>
      </x:c>
      <x:c r="U14" t="n">
        <x:f>S14/(1+(1+'01_SUPUESTOS'!AF3)^(1/12)-1)^A14</x:f>
        <x:v>-711.1195900168311</x:v>
      </x:c>
      <x:c r="V14" t="n">
        <x:f>IF(Q14&gt;=0,1,0)</x:f>
        <x:v>0</x:v>
      </x:c>
      <x:c r="W14" t="n">
        <x:f>IF(T14&gt;=0,1,0)</x:f>
        <x:v>0</x:v>
      </x:c>
    </x:row>
    <x:row r="15">
      <x:c r="A15" t="n">
        <x:f>14</x:f>
        <x:v>14</x:v>
      </x:c>
      <x:c r="B15" t="n">
        <x:f>B14*(1-'01_SUPUESTOS'!Q3)+'01_SUPUESTOS'!N3</x:f>
        <x:v>5.080288413449318</x:v>
      </x:c>
      <x:c r="C15" t="n">
        <x:f>C14*(1-'01_SUPUESTOS'!Q3)+'01_SUPUESTOS'!O3</x:f>
        <x:v>1.4781483511505877</x:v>
      </x:c>
      <x:c r="D15" t="n">
        <x:f>D14*(1-'01_SUPUESTOS'!Q3)+'01_SUPUESTOS'!P3</x:f>
        <x:v>0.36953708778764693</x:v>
      </x:c>
      <x:c r="E15" t="n">
        <x:f>SUM(B15:D15)</x:f>
        <x:v>6.927973852387552</x:v>
      </x:c>
      <x:c r="F15" t="n">
        <x:f>B15*'01_SUPUESTOS'!R3</x:f>
        <x:v>660.4374937484113</x:v>
      </x:c>
      <x:c r="G15" t="n">
        <x:f>C15*'01_SUPUESTOS'!S3</x:f>
        <x:v>812.9815931328233</x:v>
      </x:c>
      <x:c r="H15" t="n">
        <x:f>D15*'01_SUPUESTOS'!T3</x:f>
        <x:v>591.2593404602351</x:v>
      </x:c>
      <x:c r="I15" t="n">
        <x:f>SUM(F15:H15)</x:f>
        <x:v>2064.6784273414696</x:v>
      </x:c>
      <x:c r="J15" t="n">
        <x:f>B15*'01_SUPUESTOS'!B3+C15*'01_SUPUESTOS'!C3+D15*'01_SUPUESTOS'!D3</x:f>
        <x:v>7076.127304954942</x:v>
      </x:c>
      <x:c r="K15" t="n">
        <x:f>MAX(F15-B15*'01_SUPUESTOS'!E3,0)*'01_SUPUESTOS'!H3+MAX(G15-C15*'01_SUPUESTOS'!F3,0)*'01_SUPUESTOS'!I3+MAX(H15-D15*'01_SUPUESTOS'!G3,0)*'01_SUPUESTOS'!J3</x:f>
        <x:v>997.6824135361805</x:v>
      </x:c>
      <x:c r="L15" t="n">
        <x:f>J15+K15</x:f>
        <x:v>8073.809718491122</x:v>
      </x:c>
      <x:c r="M15" t="n">
        <x:f>I15*'01_SUPUESTOS'!U3</x:f>
        <x:v>13.833345463187847</x:v>
      </x:c>
      <x:c r="N15" t="n">
        <x:f>E15*'01_SUPUESTOS'!W3</x:f>
        <x:v>415.67843114325314</x:v>
      </x:c>
      <x:c r="O15" t="n">
        <x:f>M15+N15</x:f>
        <x:v>429.511776606441</x:v>
      </x:c>
      <x:c r="P15" t="n">
        <x:f>SUM('01_SUPUESTOS'!V3,'01_SUPUESTOS'!X3:AB3)</x:f>
        <x:v>8112.08</x:v>
      </x:c>
      <x:c r="Q15" t="n">
        <x:f>L15-O15-P15</x:f>
        <x:v>-467.78205811531916</x:v>
      </x:c>
      <x:c r="R15" t="n">
        <x:f>0</x:f>
        <x:v>0</x:v>
      </x:c>
      <x:c r="S15" t="n">
        <x:f>Q15-R15</x:f>
        <x:v>-467.78205811531916</x:v>
      </x:c>
      <x:c r="T15" t="n">
        <x:f>T14+S15</x:f>
        <x:v>-72831.32415234958</x:v>
      </x:c>
      <x:c r="U15" t="n">
        <x:f>S15/(1+(1+'01_SUPUESTOS'!AF3)^(1/12)-1)^A15</x:f>
        <x:v>-360.56359771495397</x:v>
      </x:c>
      <x:c r="V15" t="n">
        <x:f>IF(Q15&gt;=0,1,0)</x:f>
        <x:v>0</x:v>
      </x:c>
      <x:c r="W15" t="n">
        <x:f>IF(T15&gt;=0,1,0)</x:f>
        <x:v>0</x:v>
      </x:c>
    </x:row>
    <x:row r="16">
      <x:c r="A16" t="n">
        <x:f>15</x:f>
        <x:v>15</x:v>
      </x:c>
      <x:c r="B16" t="n">
        <x:f>B15*(1-'01_SUPUESTOS'!Q3)+'01_SUPUESTOS'!N3</x:f>
        <x:v>5.328682645180331</x:v>
      </x:c>
      <x:c r="C16" t="n">
        <x:f>C15*(1-'01_SUPUESTOS'!Q3)+'01_SUPUESTOS'!O3</x:f>
        <x:v>1.568585384127576</x:v>
      </x:c>
      <x:c r="D16" t="n">
        <x:f>D15*(1-'01_SUPUESTOS'!Q3)+'01_SUPUESTOS'!P3</x:f>
        <x:v>0.392146346031894</x:v>
      </x:c>
      <x:c r="E16" t="n">
        <x:f>SUM(B16:D16)</x:f>
        <x:v>7.289414375339802</x:v>
      </x:c>
      <x:c r="F16" t="n">
        <x:f>B16*'01_SUPUESTOS'!R3</x:f>
        <x:v>692.728743873443</x:v>
      </x:c>
      <x:c r="G16" t="n">
        <x:f>C16*'01_SUPUESTOS'!S3</x:f>
        <x:v>862.7219612701668</x:v>
      </x:c>
      <x:c r="H16" t="n">
        <x:f>D16*'01_SUPUESTOS'!T3</x:f>
        <x:v>627.4341536510304</x:v>
      </x:c>
      <x:c r="I16" t="n">
        <x:f>SUM(F16:H16)</x:f>
        <x:v>2182.8848587946404</x:v>
      </x:c>
      <x:c r="J16" t="n">
        <x:f>B16*'01_SUPUESTOS'!B3+C16*'01_SUPUESTOS'!C3+D16*'01_SUPUESTOS'!D3</x:f>
        <x:v>7471.604758855843</x:v>
      </x:c>
      <x:c r="K16" t="n">
        <x:f>MAX(F16-B16*'01_SUPUESTOS'!E3,0)*'01_SUPUESTOS'!H3+MAX(G16-C16*'01_SUPUESTOS'!F3,0)*'01_SUPUESTOS'!I3+MAX(H16-D16*'01_SUPUESTOS'!G3,0)*'01_SUPUESTOS'!J3</x:f>
        <x:v>1053.728765265457</x:v>
      </x:c>
      <x:c r="L16" t="n">
        <x:f>J16+K16</x:f>
        <x:v>8525.3335241213</x:v>
      </x:c>
      <x:c r="M16" t="n">
        <x:f>I16*'01_SUPUESTOS'!U3</x:f>
        <x:v>14.625328553924092</x:v>
      </x:c>
      <x:c r="N16" t="n">
        <x:f>E16*'01_SUPUESTOS'!W3</x:f>
        <x:v>437.3648625203881</x:v>
      </x:c>
      <x:c r="O16" t="n">
        <x:f>M16+N16</x:f>
        <x:v>451.9901910743122</x:v>
      </x:c>
      <x:c r="P16" t="n">
        <x:f>SUM('01_SUPUESTOS'!V3,'01_SUPUESTOS'!X3:AB3)</x:f>
        <x:v>8112.08</x:v>
      </x:c>
      <x:c r="Q16" t="n">
        <x:f>L16-O16-P16</x:f>
        <x:v>-38.73666695301108</x:v>
      </x:c>
      <x:c r="R16" t="n">
        <x:f>0</x:f>
        <x:v>0</x:v>
      </x:c>
      <x:c r="S16" t="n">
        <x:f>Q16-R16</x:f>
        <x:v>-38.73666695301108</x:v>
      </x:c>
      <x:c r="T16" t="n">
        <x:f>T15+S16</x:f>
        <x:v>-72870.0608193026</x:v>
      </x:c>
      <x:c r="U16" t="n">
        <x:f>S16/(1+(1+'01_SUPUESTOS'!AF3)^(1/12)-1)^A16</x:f>
        <x:v>-29.307902185248736</x:v>
      </x:c>
      <x:c r="V16" t="n">
        <x:f>IF(Q16&gt;=0,1,0)</x:f>
        <x:v>0</x:v>
      </x:c>
      <x:c r="W16" t="n">
        <x:f>IF(T16&gt;=0,1,0)</x:f>
        <x:v>0</x:v>
      </x:c>
    </x:row>
    <x:row r="17">
      <x:c r="A17" t="n">
        <x:f>16</x:f>
        <x:v>16</x:v>
      </x:c>
      <x:c r="B17" t="n">
        <x:f>B16*(1-'01_SUPUESTOS'!Q3)+'01_SUPUESTOS'!N3</x:f>
        <x:v>5.572108992276724</x:v>
      </x:c>
      <x:c r="C17" t="n">
        <x:f>C16*(1-'01_SUPUESTOS'!Q3)+'01_SUPUESTOS'!O3</x:f>
        <x:v>1.6572136764450245</x:v>
      </x:c>
      <x:c r="D17" t="n">
        <x:f>D16*(1-'01_SUPUESTOS'!Q3)+'01_SUPUESTOS'!P3</x:f>
        <x:v>0.4143034191112561</x:v>
      </x:c>
      <x:c r="E17" t="n">
        <x:f>SUM(B17:D17)</x:f>
        <x:v>7.643626087833004</x:v>
      </x:c>
      <x:c r="F17" t="n">
        <x:f>B17*'01_SUPUESTOS'!R3</x:f>
        <x:v>724.3741689959741</x:v>
      </x:c>
      <x:c r="G17" t="n">
        <x:f>C17*'01_SUPUESTOS'!S3</x:f>
        <x:v>911.4675220447634</x:v>
      </x:c>
      <x:c r="H17" t="n">
        <x:f>D17*'01_SUPUESTOS'!T3</x:f>
        <x:v>662.8854705780097</x:v>
      </x:c>
      <x:c r="I17" t="n">
        <x:f>SUM(F17:H17)</x:f>
        <x:v>2298.7271616187472</x:v>
      </x:c>
      <x:c r="J17" t="n">
        <x:f>B17*'01_SUPUESTOS'!B3+C17*'01_SUPUESTOS'!C3+D17*'01_SUPUESTOS'!D3</x:f>
        <x:v>7859.172663678726</x:v>
      </x:c>
      <x:c r="K17" t="n">
        <x:f>MAX(F17-B17*'01_SUPUESTOS'!E3,0)*'01_SUPUESTOS'!H3+MAX(G17-C17*'01_SUPUESTOS'!F3,0)*'01_SUPUESTOS'!I3+MAX(H17-D17*'01_SUPUESTOS'!G3,0)*'01_SUPUESTOS'!J3</x:f>
        <x:v>1108.6541899601468</x:v>
      </x:c>
      <x:c r="L17" t="n">
        <x:f>J17+K17</x:f>
        <x:v>8967.826853638873</x:v>
      </x:c>
      <x:c r="M17" t="n">
        <x:f>I17*'01_SUPUESTOS'!U3</x:f>
        <x:v>15.401471982845607</x:v>
      </x:c>
      <x:c r="N17" t="n">
        <x:f>E17*'01_SUPUESTOS'!W3</x:f>
        <x:v>458.6175652699803</x:v>
      </x:c>
      <x:c r="O17" t="n">
        <x:f>M17+N17</x:f>
        <x:v>474.0190372528259</x:v>
      </x:c>
      <x:c r="P17" t="n">
        <x:f>SUM('01_SUPUESTOS'!V3,'01_SUPUESTOS'!X3:AB3)</x:f>
        <x:v>8112.08</x:v>
      </x:c>
      <x:c r="Q17" t="n">
        <x:f>L17-O17-P17</x:f>
        <x:v>381.7278163860483</x:v>
      </x:c>
      <x:c r="R17" t="n">
        <x:f>0</x:f>
        <x:v>0</x:v>
      </x:c>
      <x:c r="S17" t="n">
        <x:f>Q17-R17</x:f>
        <x:v>381.7278163860483</x:v>
      </x:c>
      <x:c r="T17" t="n">
        <x:f>T16+S17</x:f>
        <x:v>-72488.33300291655</x:v>
      </x:c>
      <x:c r="U17" t="n">
        <x:f>S17/(1+(1+'01_SUPUESTOS'!AF3)^(1/12)-1)^A17</x:f>
        <x:v>283.4917712026999</x:v>
      </x:c>
      <x:c r="V17" t="n">
        <x:f>IF(Q17&gt;=0,1,0)</x:f>
        <x:v>1</x:v>
      </x:c>
      <x:c r="W17" t="n">
        <x:f>IF(T17&gt;=0,1,0)</x:f>
        <x:v>0</x:v>
      </x:c>
    </x:row>
    <x:row r="18">
      <x:c r="A18" t="n">
        <x:f>17</x:f>
        <x:v>17</x:v>
      </x:c>
      <x:c r="B18" t="n">
        <x:f>B17*(1-'01_SUPUESTOS'!Q3)+'01_SUPUESTOS'!N3</x:f>
        <x:v>5.810666812431189</x:v>
      </x:c>
      <x:c r="C18" t="n">
        <x:f>C17*(1-'01_SUPUESTOS'!Q3)+'01_SUPUESTOS'!O3</x:f>
        <x:v>1.7440694029161241</x:v>
      </x:c>
      <x:c r="D18" t="n">
        <x:f>D17*(1-'01_SUPUESTOS'!Q3)+'01_SUPUESTOS'!P3</x:f>
        <x:v>0.43601735072903103</x:v>
      </x:c>
      <x:c r="E18" t="n">
        <x:f>SUM(B18:D18)</x:f>
        <x:v>7.990753566076345</x:v>
      </x:c>
      <x:c r="F18" t="n">
        <x:f>B18*'01_SUPUESTOS'!R3</x:f>
        <x:v>755.3866856160546</x:v>
      </x:c>
      <x:c r="G18" t="n">
        <x:f>C18*'01_SUPUESTOS'!S3</x:f>
        <x:v>959.2381716038683</x:v>
      </x:c>
      <x:c r="H18" t="n">
        <x:f>D18*'01_SUPUESTOS'!T3</x:f>
        <x:v>697.6277611664497</x:v>
      </x:c>
      <x:c r="I18" t="n">
        <x:f>SUM(F18:H18)</x:f>
        <x:v>2412.2526183863724</x:v>
      </x:c>
      <x:c r="J18" t="n">
        <x:f>B18*'01_SUPUESTOS'!B3+C18*'01_SUPUESTOS'!C3+D18*'01_SUPUESTOS'!D3</x:f>
        <x:v>8238.989210405152</x:v>
      </x:c>
      <x:c r="K18" t="n">
        <x:f>MAX(F18-B18*'01_SUPUESTOS'!E3,0)*'01_SUPUESTOS'!H3+MAX(G18-C18*'01_SUPUESTOS'!F3,0)*'01_SUPUESTOS'!I3+MAX(H18-D18*'01_SUPUESTOS'!G3,0)*'01_SUPUESTOS'!J3</x:f>
        <x:v>1162.4811061609453</x:v>
      </x:c>
      <x:c r="L18" t="n">
        <x:f>J18+K18</x:f>
        <x:v>9401.470316566098</x:v>
      </x:c>
      <x:c r="M18" t="n">
        <x:f>I18*'01_SUPUESTOS'!U3</x:f>
        <x:v>16.162092543188695</x:v>
      </x:c>
      <x:c r="N18" t="n">
        <x:f>E18*'01_SUPUESTOS'!W3</x:f>
        <x:v>479.44521396458066</x:v>
      </x:c>
      <x:c r="O18" t="n">
        <x:f>M18+N18</x:f>
        <x:v>495.60730650776935</x:v>
      </x:c>
      <x:c r="P18" t="n">
        <x:f>SUM('01_SUPUESTOS'!V3,'01_SUPUESTOS'!X3:AB3)</x:f>
        <x:v>8112.08</x:v>
      </x:c>
      <x:c r="Q18" t="n">
        <x:f>L18-O18-P18</x:f>
        <x:v>793.7830100583287</x:v>
      </x:c>
      <x:c r="R18" t="n">
        <x:f>0</x:f>
        <x:v>0</x:v>
      </x:c>
      <x:c r="S18" t="n">
        <x:f>Q18-R18</x:f>
        <x:v>793.7830100583287</x:v>
      </x:c>
      <x:c r="T18" t="n">
        <x:f>T17+S18</x:f>
        <x:v>-71694.54999285823</x:v>
      </x:c>
      <x:c r="U18" t="n">
        <x:f>S18/(1+(1+'01_SUPUESTOS'!AF3)^(1/12)-1)^A18</x:f>
        <x:v>578.6455452770426</x:v>
      </x:c>
      <x:c r="V18" t="n">
        <x:f>IF(Q18&gt;=0,1,0)</x:f>
        <x:v>1</x:v>
      </x:c>
      <x:c r="W18" t="n">
        <x:f>IF(T18&gt;=0,1,0)</x:f>
        <x:v>0</x:v>
      </x:c>
    </x:row>
    <x:row r="19">
      <x:c r="A19" t="n">
        <x:f>18</x:f>
        <x:v>18</x:v>
      </x:c>
      <x:c r="B19" t="n">
        <x:f>B18*(1-'01_SUPUESTOS'!Q3)+'01_SUPUESTOS'!N3</x:f>
        <x:v>6.044453476182565</x:v>
      </x:c>
      <x:c r="C19" t="n">
        <x:f>C18*(1-'01_SUPUESTOS'!Q3)+'01_SUPUESTOS'!O3</x:f>
        <x:v>1.8291880148578015</x:v>
      </x:c>
      <x:c r="D19" t="n">
        <x:f>D18*(1-'01_SUPUESTOS'!Q3)+'01_SUPUESTOS'!P3</x:f>
        <x:v>0.45729700371445037</x:v>
      </x:c>
      <x:c r="E19" t="n">
        <x:f>SUM(B19:D19)</x:f>
        <x:v>8.330938494754816</x:v>
      </x:c>
      <x:c r="F19" t="n">
        <x:f>B19*'01_SUPUESTOS'!R3</x:f>
        <x:v>785.7789519037335</x:v>
      </x:c>
      <x:c r="G19" t="n">
        <x:f>C19*'01_SUPUESTOS'!S3</x:f>
        <x:v>1006.0534081717908</x:v>
      </x:c>
      <x:c r="H19" t="n">
        <x:f>D19*'01_SUPUESTOS'!T3</x:f>
        <x:v>731.6752059431205</x:v>
      </x:c>
      <x:c r="I19" t="n">
        <x:f>SUM(F19:H19)</x:f>
        <x:v>2523.507566018645</x:v>
      </x:c>
      <x:c r="J19" t="n">
        <x:f>B19*'01_SUPUESTOS'!B3+C19*'01_SUPUESTOS'!C3+D19*'01_SUPUESTOS'!D3</x:f>
        <x:v>8611.209426197049</x:v>
      </x:c>
      <x:c r="K19" t="n">
        <x:f>MAX(F19-B19*'01_SUPUESTOS'!E3,0)*'01_SUPUESTOS'!H3+MAX(G19-C19*'01_SUPUESTOS'!F3,0)*'01_SUPUESTOS'!I3+MAX(H19-D19*'01_SUPUESTOS'!G3,0)*'01_SUPUESTOS'!J3</x:f>
        <x:v>1215.2314840377264</x:v>
      </x:c>
      <x:c r="L19" t="n">
        <x:f>J19+K19</x:f>
        <x:v>9826.440910234774</x:v>
      </x:c>
      <x:c r="M19" t="n">
        <x:f>I19*'01_SUPUESTOS'!U3</x:f>
        <x:v>16.90750069232492</x:v>
      </x:c>
      <x:c r="N19" t="n">
        <x:f>E19*'01_SUPUESTOS'!W3</x:f>
        <x:v>499.856309685289</x:v>
      </x:c>
      <x:c r="O19" t="n">
        <x:f>M19+N19</x:f>
        <x:v>516.7638103776139</x:v>
      </x:c>
      <x:c r="P19" t="n">
        <x:f>SUM('01_SUPUESTOS'!V3,'01_SUPUESTOS'!X3:AB3)</x:f>
        <x:v>8112.08</x:v>
      </x:c>
      <x:c r="Q19" t="n">
        <x:f>L19-O19-P19</x:f>
        <x:v>1197.597099857161</x:v>
      </x:c>
      <x:c r="R19" t="n">
        <x:f>0</x:f>
        <x:v>0</x:v>
      </x:c>
      <x:c r="S19" t="n">
        <x:f>Q19-R19</x:f>
        <x:v>1197.597099857161</x:v>
      </x:c>
      <x:c r="T19" t="n">
        <x:f>T18+S19</x:f>
        <x:v>-70496.95289300107</x:v>
      </x:c>
      <x:c r="U19" t="n">
        <x:f>S19/(1+(1+'01_SUPUESTOS'!AF3)^(1/12)-1)^A19</x:f>
        <x:v>856.9307279799111</x:v>
      </x:c>
      <x:c r="V19" t="n">
        <x:f>IF(Q19&gt;=0,1,0)</x:f>
        <x:v>1</x:v>
      </x:c>
      <x:c r="W19" t="n">
        <x:f>IF(T19&gt;=0,1,0)</x:f>
        <x:v>0</x:v>
      </x:c>
    </x:row>
    <x:row r="20">
      <x:c r="A20" t="n">
        <x:f>19</x:f>
        <x:v>19</x:v>
      </x:c>
      <x:c r="B20" t="n">
        <x:f>B19*(1-'01_SUPUESTOS'!Q3)+'01_SUPUESTOS'!N3</x:f>
        <x:v>6.273564406658913</x:v>
      </x:c>
      <x:c r="C20" t="n">
        <x:f>C19*(1-'01_SUPUESTOS'!Q3)+'01_SUPUESTOS'!O3</x:f>
        <x:v>1.9126042545606454</x:v>
      </x:c>
      <x:c r="D20" t="n">
        <x:f>D19*(1-'01_SUPUESTOS'!Q3)+'01_SUPUESTOS'!P3</x:f>
        <x:v>0.47815106364016136</x:v>
      </x:c>
      <x:c r="E20" t="n">
        <x:f>SUM(B20:D20)</x:f>
        <x:v>8.66431972485972</x:v>
      </x:c>
      <x:c r="F20" t="n">
        <x:f>B20*'01_SUPUESTOS'!R3</x:f>
        <x:v>815.5633728656587</x:v>
      </x:c>
      <x:c r="G20" t="n">
        <x:f>C20*'01_SUPUESTOS'!S3</x:f>
        <x:v>1051.932340008355</x:v>
      </x:c>
      <x:c r="H20" t="n">
        <x:f>D20*'01_SUPUESTOS'!T3</x:f>
        <x:v>765.0417018242582</x:v>
      </x:c>
      <x:c r="I20" t="n">
        <x:f>SUM(F20:H20)</x:f>
        <x:v>2632.5374146982717</x:v>
      </x:c>
      <x:c r="J20" t="n">
        <x:f>B20*'01_SUPUESTOS'!B3+C20*'01_SUPUESTOS'!C3+D20*'01_SUPUESTOS'!D3</x:f>
        <x:v>8975.985237673107</x:v>
      </x:c>
      <x:c r="K20" t="n">
        <x:f>MAX(F20-B20*'01_SUPUESTOS'!E3,0)*'01_SUPUESTOS'!H3+MAX(G20-C20*'01_SUPUESTOS'!F3,0)*'01_SUPUESTOS'!I3+MAX(H20-D20*'01_SUPUESTOS'!G3,0)*'01_SUPUESTOS'!J3</x:f>
        <x:v>1266.9268543569717</x:v>
      </x:c>
      <x:c r="L20" t="n">
        <x:f>J20+K20</x:f>
        <x:v>10242.91209203008</x:v>
      </x:c>
      <x:c r="M20" t="n">
        <x:f>I20*'01_SUPUESTOS'!U3</x:f>
        <x:v>17.63800067847842</x:v>
      </x:c>
      <x:c r="N20" t="n">
        <x:f>E20*'01_SUPUESTOS'!W3</x:f>
        <x:v>519.8591834915832</x:v>
      </x:c>
      <x:c r="O20" t="n">
        <x:f>M20+N20</x:f>
        <x:v>537.4971841700616</x:v>
      </x:c>
      <x:c r="P20" t="n">
        <x:f>SUM('01_SUPUESTOS'!V3,'01_SUPUESTOS'!X3:AB3)</x:f>
        <x:v>8112.08</x:v>
      </x:c>
      <x:c r="Q20" t="n">
        <x:f>L20-O20-P20</x:f>
        <x:v>1593.3349078600186</x:v>
      </x:c>
      <x:c r="R20" t="n">
        <x:f>0</x:f>
        <x:v>0</x:v>
      </x:c>
      <x:c r="S20" t="n">
        <x:f>Q20-R20</x:f>
        <x:v>1593.3349078600186</x:v>
      </x:c>
      <x:c r="T20" t="n">
        <x:f>T19+S20</x:f>
        <x:v>-68903.61798514106</x:v>
      </x:c>
      <x:c r="U20" t="n">
        <x:f>S20/(1+(1+'01_SUPUESTOS'!AF3)^(1/12)-1)^A20</x:f>
        <x:v>1119.0930977207122</x:v>
      </x:c>
      <x:c r="V20" t="n">
        <x:f>IF(Q20&gt;=0,1,0)</x:f>
        <x:v>1</x:v>
      </x:c>
      <x:c r="W20" t="n">
        <x:f>IF(T20&gt;=0,1,0)</x:f>
        <x:v>0</x:v>
      </x:c>
    </x:row>
    <x:row r="21">
      <x:c r="A21" t="n">
        <x:f>20</x:f>
        <x:v>20</x:v>
      </x:c>
      <x:c r="B21" t="n">
        <x:f>B20*(1-'01_SUPUESTOS'!Q3)+'01_SUPUESTOS'!N3</x:f>
        <x:v>6.498093118525734</x:v>
      </x:c>
      <x:c r="C21" t="n">
        <x:f>C20*(1-'01_SUPUESTOS'!Q3)+'01_SUPUESTOS'!O3</x:f>
        <x:v>1.9943521694694324</x:v>
      </x:c>
      <x:c r="D21" t="n">
        <x:f>D20*(1-'01_SUPUESTOS'!Q3)+'01_SUPUESTOS'!P3</x:f>
        <x:v>0.4985880423673581</x:v>
      </x:c>
      <x:c r="E21" t="n">
        <x:f>SUM(B21:D21)</x:f>
        <x:v>8.991033330362525</x:v>
      </x:c>
      <x:c r="F21" t="n">
        <x:f>B21*'01_SUPUESTOS'!R3</x:f>
        <x:v>844.7521054083454</x:v>
      </x:c>
      <x:c r="G21" t="n">
        <x:f>C21*'01_SUPUESTOS'!S3</x:f>
        <x:v>1096.8936932081879</x:v>
      </x:c>
      <x:c r="H21" t="n">
        <x:f>D21*'01_SUPUESTOS'!T3</x:f>
        <x:v>797.7408677877729</x:v>
      </x:c>
      <x:c r="I21" t="n">
        <x:f>SUM(F21:H21)</x:f>
        <x:v>2739.386666404306</x:v>
      </x:c>
      <x:c r="J21" t="n">
        <x:f>B21*'01_SUPUESTOS'!B3+C21*'01_SUPUESTOS'!C3+D21*'01_SUPUESTOS'!D3</x:f>
        <x:v>9333.465532919643</x:v>
      </x:c>
      <x:c r="K21" t="n">
        <x:f>MAX(F21-B21*'01_SUPUESTOS'!E3,0)*'01_SUPUESTOS'!H3+MAX(G21-C21*'01_SUPUESTOS'!F3,0)*'01_SUPUESTOS'!I3+MAX(H21-D21*'01_SUPUESTOS'!G3,0)*'01_SUPUESTOS'!J3</x:f>
        <x:v>1317.5883172698318</x:v>
      </x:c>
      <x:c r="L21" t="n">
        <x:f>J21+K21</x:f>
        <x:v>10651.053850189475</x:v>
      </x:c>
      <x:c r="M21" t="n">
        <x:f>I21*'01_SUPUESTOS'!U3</x:f>
        <x:v>18.353890664908853</x:v>
      </x:c>
      <x:c r="N21" t="n">
        <x:f>E21*'01_SUPUESTOS'!W3</x:f>
        <x:v>539.4619998217515</x:v>
      </x:c>
      <x:c r="O21" t="n">
        <x:f>M21+N21</x:f>
        <x:v>557.8158904866604</x:v>
      </x:c>
      <x:c r="P21" t="n">
        <x:f>SUM('01_SUPUESTOS'!V3,'01_SUPUESTOS'!X3:AB3)</x:f>
        <x:v>8112.08</x:v>
      </x:c>
      <x:c r="Q21" t="n">
        <x:f>L21-O21-P21</x:f>
        <x:v>1981.1579597028158</x:v>
      </x:c>
      <x:c r="R21" t="n">
        <x:f>0</x:f>
        <x:v>0</x:v>
      </x:c>
      <x:c r="S21" t="n">
        <x:f>Q21-R21</x:f>
        <x:v>1981.1579597028158</x:v>
      </x:c>
      <x:c r="T21" t="n">
        <x:f>T20+S21</x:f>
        <x:v>-66922.46002543824</x:v>
      </x:c>
      <x:c r="U21" t="n">
        <x:f>S21/(1+(1+'01_SUPUESTOS'!AF3)^(1/12)-1)^A21</x:f>
        <x:v>1365.8481391412947</x:v>
      </x:c>
      <x:c r="V21" t="n">
        <x:f>IF(Q21&gt;=0,1,0)</x:f>
        <x:v>1</x:v>
      </x:c>
      <x:c r="W21" t="n">
        <x:f>IF(T21&gt;=0,1,0)</x:f>
        <x:v>0</x:v>
      </x:c>
    </x:row>
    <x:row r="22">
      <x:c r="A22" t="n">
        <x:f>21</x:f>
        <x:v>21</x:v>
      </x:c>
      <x:c r="B22" t="n">
        <x:f>B21*(1-'01_SUPUESTOS'!Q3)+'01_SUPUESTOS'!N3</x:f>
        <x:v>6.7181312561552184</x:v>
      </x:c>
      <x:c r="C22" t="n">
        <x:f>C21*(1-'01_SUPUESTOS'!Q3)+'01_SUPUESTOS'!O3</x:f>
        <x:v>2.0744651260800437</x:v>
      </x:c>
      <x:c r="D22" t="n">
        <x:f>D21*(1-'01_SUPUESTOS'!Q3)+'01_SUPUESTOS'!P3</x:f>
        <x:v>0.5186162815200109</x:v>
      </x:c>
      <x:c r="E22" t="n">
        <x:f>SUM(B22:D22)</x:f>
        <x:v>9.311212663755272</x:v>
      </x:c>
      <x:c r="F22" t="n">
        <x:f>B22*'01_SUPUESTOS'!R3</x:f>
        <x:v>873.3570633001784</x:v>
      </x:c>
      <x:c r="G22" t="n">
        <x:f>C22*'01_SUPUESTOS'!S3</x:f>
        <x:v>1140.9558193440241</x:v>
      </x:c>
      <x:c r="H22" t="n">
        <x:f>D22*'01_SUPUESTOS'!T3</x:f>
        <x:v>829.7860504320175</x:v>
      </x:c>
      <x:c r="I22" t="n">
        <x:f>SUM(F22:H22)</x:f>
        <x:v>2844.09893307622</x:v>
      </x:c>
      <x:c r="J22" t="n">
        <x:f>B22*'01_SUPUESTOS'!B3+C22*'01_SUPUESTOS'!C3+D22*'01_SUPUESTOS'!D3</x:f>
        <x:v>9683.79622226125</x:v>
      </x:c>
      <x:c r="K22" t="n">
        <x:f>MAX(F22-B22*'01_SUPUESTOS'!E3,0)*'01_SUPUESTOS'!H3+MAX(G22-C22*'01_SUPUESTOS'!F3,0)*'01_SUPUESTOS'!I3+MAX(H22-D22*'01_SUPUESTOS'!G3,0)*'01_SUPUESTOS'!J3</x:f>
        <x:v>1367.2365509244355</x:v>
      </x:c>
      <x:c r="L22" t="n">
        <x:f>J22+K22</x:f>
        <x:v>11051.032773185685</x:v>
      </x:c>
      <x:c r="M22" t="n">
        <x:f>I22*'01_SUPUESTOS'!U3</x:f>
        <x:v>19.055462851610674</x:v>
      </x:c>
      <x:c r="N22" t="n">
        <x:f>E22*'01_SUPUESTOS'!W3</x:f>
        <x:v>558.6727598253163</x:v>
      </x:c>
      <x:c r="O22" t="n">
        <x:f>M22+N22</x:f>
        <x:v>577.728222676927</x:v>
      </x:c>
      <x:c r="P22" t="n">
        <x:f>SUM('01_SUPUESTOS'!V3,'01_SUPUESTOS'!X3:AB3)</x:f>
        <x:v>8112.08</x:v>
      </x:c>
      <x:c r="Q22" t="n">
        <x:f>L22-O22-P22</x:f>
        <x:v>2361.2245505087576</x:v>
      </x:c>
      <x:c r="R22" t="n">
        <x:f>0</x:f>
        <x:v>0</x:v>
      </x:c>
      <x:c r="S22" t="n">
        <x:f>Q22-R22</x:f>
        <x:v>2361.2245505087576</x:v>
      </x:c>
      <x:c r="T22" t="n">
        <x:f>T21+S22</x:f>
        <x:v>-64561.23547492948</x:v>
      </x:c>
      <x:c r="U22" t="n">
        <x:f>S22/(1+(1+'01_SUPUESTOS'!AF3)^(1/12)-1)^A22</x:f>
        <x:v>1597.8822311925312</x:v>
      </x:c>
      <x:c r="V22" t="n">
        <x:f>IF(Q22&gt;=0,1,0)</x:f>
        <x:v>1</x:v>
      </x:c>
      <x:c r="W22" t="n">
        <x:f>IF(T22&gt;=0,1,0)</x:f>
        <x:v>0</x:v>
      </x:c>
    </x:row>
    <x:row r="23">
      <x:c r="A23" t="n">
        <x:f>22</x:f>
        <x:v>22</x:v>
      </x:c>
      <x:c r="B23" t="n">
        <x:f>B22*(1-'01_SUPUESTOS'!Q3)+'01_SUPUESTOS'!N3</x:f>
        <x:v>6.933768631032113</x:v>
      </x:c>
      <x:c r="C23" t="n">
        <x:f>C22*(1-'01_SUPUESTOS'!Q3)+'01_SUPUESTOS'!O3</x:f>
        <x:v>2.152975823558443</x:v>
      </x:c>
      <x:c r="D23" t="n">
        <x:f>D22*(1-'01_SUPUESTOS'!Q3)+'01_SUPUESTOS'!P3</x:f>
        <x:v>0.5382439558896107</x:v>
      </x:c>
      <x:c r="E23" t="n">
        <x:f>SUM(B23:D23)</x:f>
        <x:v>9.624988410480167</x:v>
      </x:c>
      <x:c r="F23" t="n">
        <x:f>B23*'01_SUPUESTOS'!R3</x:f>
        <x:v>901.3899220341748</x:v>
      </x:c>
      <x:c r="G23" t="n">
        <x:f>C23*'01_SUPUESTOS'!S3</x:f>
        <x:v>1184.1367029571436</x:v>
      </x:c>
      <x:c r="H23" t="n">
        <x:f>D23*'01_SUPUESTOS'!T3</x:f>
        <x:v>861.1903294233772</x:v>
      </x:c>
      <x:c r="I23" t="n">
        <x:f>SUM(F23:H23)</x:f>
        <x:v>2946.7169544146955</x:v>
      </x:c>
      <x:c r="J23" t="n">
        <x:f>B23*'01_SUPUESTOS'!B3+C23*'01_SUPUESTOS'!C3+D23*'01_SUPUESTOS'!D3</x:f>
        <x:v>10027.120297816025</x:v>
      </x:c>
      <x:c r="K23" t="n">
        <x:f>MAX(F23-B23*'01_SUPUESTOS'!E3,0)*'01_SUPUESTOS'!H3+MAX(G23-C23*'01_SUPUESTOS'!F3,0)*'01_SUPUESTOS'!I3+MAX(H23-D23*'01_SUPUESTOS'!G3,0)*'01_SUPUESTOS'!J3</x:f>
        <x:v>1415.8918199059472</x:v>
      </x:c>
      <x:c r="L23" t="n">
        <x:f>J23+K23</x:f>
        <x:v>11443.012117721973</x:v>
      </x:c>
      <x:c r="M23" t="n">
        <x:f>I23*'01_SUPUESTOS'!U3</x:f>
        <x:v>19.74300359457846</x:v>
      </x:c>
      <x:c r="N23" t="n">
        <x:f>E23*'01_SUPUESTOS'!W3</x:f>
        <x:v>577.49930462881</x:v>
      </x:c>
      <x:c r="O23" t="n">
        <x:f>M23+N23</x:f>
        <x:v>597.2423082233885</x:v>
      </x:c>
      <x:c r="P23" t="n">
        <x:f>SUM('01_SUPUESTOS'!V3,'01_SUPUESTOS'!X3:AB3)</x:f>
        <x:v>8112.08</x:v>
      </x:c>
      <x:c r="Q23" t="n">
        <x:f>L23-O23-P23</x:f>
        <x:v>2733.6898094985845</x:v>
      </x:c>
      <x:c r="R23" t="n">
        <x:f>0</x:f>
        <x:v>0</x:v>
      </x:c>
      <x:c r="S23" t="n">
        <x:f>Q23-R23</x:f>
        <x:v>2733.6898094985845</x:v>
      </x:c>
      <x:c r="T23" t="n">
        <x:f>T22+S23</x:f>
        <x:v>-61827.545665430895</x:v>
      </x:c>
      <x:c r="U23" t="n">
        <x:f>S23/(1+(1+'01_SUPUESTOS'!AF3)^(1/12)-1)^A23</x:f>
        <x:v>1815.8537893492503</x:v>
      </x:c>
      <x:c r="V23" t="n">
        <x:f>IF(Q23&gt;=0,1,0)</x:f>
        <x:v>1</x:v>
      </x:c>
      <x:c r="W23" t="n">
        <x:f>IF(T23&gt;=0,1,0)</x:f>
        <x:v>0</x:v>
      </x:c>
    </x:row>
    <x:row r="24">
      <x:c r="A24" t="n">
        <x:f>23</x:f>
        <x:v>23</x:v>
      </x:c>
      <x:c r="B24" t="n">
        <x:f>B23*(1-'01_SUPUESTOS'!Q3)+'01_SUPUESTOS'!N3</x:f>
        <x:v>7.145093258411471</x:v>
      </x:c>
      <x:c r="C24" t="n">
        <x:f>C23*(1-'01_SUPUESTOS'!Q3)+'01_SUPUESTOS'!O3</x:f>
        <x:v>2.229916307087274</x:v>
      </x:c>
      <x:c r="D24" t="n">
        <x:f>D23*(1-'01_SUPUESTOS'!Q3)+'01_SUPUESTOS'!P3</x:f>
        <x:v>0.5574790767718185</x:v>
      </x:c>
      <x:c r="E24" t="n">
        <x:f>SUM(B24:D24)</x:f>
        <x:v>9.932488642270563</x:v>
      </x:c>
      <x:c r="F24" t="n">
        <x:f>B24*'01_SUPUESTOS'!R3</x:f>
        <x:v>928.8621235934912</x:v>
      </x:c>
      <x:c r="G24" t="n">
        <x:f>C24*'01_SUPUESTOS'!S3</x:f>
        <x:v>1226.4539688980008</x:v>
      </x:c>
      <x:c r="H24" t="n">
        <x:f>D24*'01_SUPUESTOS'!T3</x:f>
        <x:v>891.9665228349096</x:v>
      </x:c>
      <x:c r="I24" t="n">
        <x:f>SUM(F24:H24)</x:f>
        <x:v>3047.2826153264014</x:v>
      </x:c>
      <x:c r="J24" t="n">
        <x:f>B24*'01_SUPUESTOS'!B3+C24*'01_SUPUESTOS'!C3+D24*'01_SUPUESTOS'!D3</x:f>
        <x:v>10363.577891859704</x:v>
      </x:c>
      <x:c r="K24" t="n">
        <x:f>MAX(F24-B24*'01_SUPUESTOS'!E3,0)*'01_SUPUESTOS'!H3+MAX(G24-C24*'01_SUPUESTOS'!F3,0)*'01_SUPUESTOS'!I3+MAX(H24-D24*'01_SUPUESTOS'!G3,0)*'01_SUPUESTOS'!J3</x:f>
        <x:v>1463.5739835078266</x:v>
      </x:c>
      <x:c r="L24" t="n">
        <x:f>J24+K24</x:f>
        <x:v>11827.15187536753</x:v>
      </x:c>
      <x:c r="M24" t="n">
        <x:f>I24*'01_SUPUESTOS'!U3</x:f>
        <x:v>20.41679352268689</x:v>
      </x:c>
      <x:c r="N24" t="n">
        <x:f>E24*'01_SUPUESTOS'!W3</x:f>
        <x:v>595.9493185362338</x:v>
      </x:c>
      <x:c r="O24" t="n">
        <x:f>M24+N24</x:f>
        <x:v>616.3661120589207</x:v>
      </x:c>
      <x:c r="P24" t="n">
        <x:f>SUM('01_SUPUESTOS'!V3,'01_SUPUESTOS'!X3:AB3)</x:f>
        <x:v>8112.08</x:v>
      </x:c>
      <x:c r="Q24" t="n">
        <x:f>L24-O24-P24</x:f>
        <x:v>3098.7057633086097</x:v>
      </x:c>
      <x:c r="R24" t="n">
        <x:f>0</x:f>
        <x:v>0</x:v>
      </x:c>
      <x:c r="S24" t="n">
        <x:f>Q24-R24</x:f>
        <x:v>3098.7057633086097</x:v>
      </x:c>
      <x:c r="T24" t="n">
        <x:f>T23+S24</x:f>
        <x:v>-58728.83990212229</x:v>
      </x:c>
      <x:c r="U24" t="n">
        <x:f>S24/(1+(1+'01_SUPUESTOS'!AF3)^(1/12)-1)^A24</x:f>
        <x:v>2020.3943637207663</x:v>
      </x:c>
      <x:c r="V24" t="n">
        <x:f>IF(Q24&gt;=0,1,0)</x:f>
        <x:v>1</x:v>
      </x:c>
      <x:c r="W24" t="n">
        <x:f>IF(T24&gt;=0,1,0)</x:f>
        <x:v>0</x:v>
      </x:c>
    </x:row>
    <x:row r="25">
      <x:c r="A25" t="n">
        <x:f>24</x:f>
        <x:v>24</x:v>
      </x:c>
      <x:c r="B25" t="n">
        <x:f>B24*(1-'01_SUPUESTOS'!Q3)+'01_SUPUESTOS'!N3</x:f>
        <x:v>7.352191393243241</x:v>
      </x:c>
      <x:c r="C25" t="n">
        <x:f>C24*(1-'01_SUPUESTOS'!Q3)+'01_SUPUESTOS'!O3</x:f>
        <x:v>2.305317980945529</x:v>
      </x:c>
      <x:c r="D25" t="n">
        <x:f>D24*(1-'01_SUPUESTOS'!Q3)+'01_SUPUESTOS'!P3</x:f>
        <x:v>0.5763294952363822</x:v>
      </x:c>
      <x:c r="E25" t="n">
        <x:f>SUM(B25:D25)</x:f>
        <x:v>10.233838869425153</x:v>
      </x:c>
      <x:c r="F25" t="n">
        <x:f>B25*'01_SUPUESTOS'!R3</x:f>
        <x:v>955.7848811216213</x:v>
      </x:c>
      <x:c r="G25" t="n">
        <x:f>C25*'01_SUPUESTOS'!S3</x:f>
        <x:v>1267.9248895200408</x:v>
      </x:c>
      <x:c r="H25" t="n">
        <x:f>D25*'01_SUPUESTOS'!T3</x:f>
        <x:v>922.1271923782116</x:v>
      </x:c>
      <x:c r="I25" t="n">
        <x:f>SUM(F25:H25)</x:f>
        <x:v>3145.8369630198736</x:v>
      </x:c>
      <x:c r="J25" t="n">
        <x:f>B25*'01_SUPUESTOS'!B3+C25*'01_SUPUESTOS'!C3+D25*'01_SUPUESTOS'!D3</x:f>
        <x:v>10693.30633402251</x:v>
      </x:c>
      <x:c r="K25" t="n">
        <x:f>MAX(F25-B25*'01_SUPUESTOS'!E3,0)*'01_SUPUESTOS'!H3+MAX(G25-C25*'01_SUPUESTOS'!F3,0)*'01_SUPUESTOS'!I3+MAX(H25-D25*'01_SUPUESTOS'!G3,0)*'01_SUPUESTOS'!J3</x:f>
        <x:v>1510.3025038376709</x:v>
      </x:c>
      <x:c r="L25" t="n">
        <x:f>J25+K25</x:f>
        <x:v>12203.608837860182</x:v>
      </x:c>
      <x:c r="M25" t="n">
        <x:f>I25*'01_SUPUESTOS'!U3</x:f>
        <x:v>21.077107652233153</x:v>
      </x:c>
      <x:c r="N25" t="n">
        <x:f>E25*'01_SUPUESTOS'!W3</x:f>
        <x:v>614.0303321655092</x:v>
      </x:c>
      <x:c r="O25" t="n">
        <x:f>M25+N25</x:f>
        <x:v>635.1074398177424</x:v>
      </x:c>
      <x:c r="P25" t="n">
        <x:f>SUM('01_SUPUESTOS'!V3,'01_SUPUESTOS'!X3:AB3)</x:f>
        <x:v>8112.08</x:v>
      </x:c>
      <x:c r="Q25" t="n">
        <x:f>L25-O25-P25</x:f>
        <x:v>3456.4213980424393</x:v>
      </x:c>
      <x:c r="R25" t="n">
        <x:f>0</x:f>
        <x:v>0</x:v>
      </x:c>
      <x:c r="S25" t="n">
        <x:f>Q25-R25</x:f>
        <x:v>3456.4213980424393</x:v>
      </x:c>
      <x:c r="T25" t="n">
        <x:f>T24+S25</x:f>
        <x:v>-55272.41850407985</x:v>
      </x:c>
      <x:c r="U25" t="n">
        <x:f>S25/(1+(1+'01_SUPUESTOS'!AF3)^(1/12)-1)^A25</x:f>
        <x:v>2212.109694747168</x:v>
      </x:c>
      <x:c r="V25" t="n">
        <x:f>IF(Q25&gt;=0,1,0)</x:f>
        <x:v>1</x:v>
      </x:c>
      <x:c r="W25" t="n">
        <x:f>IF(T25&gt;=0,1,0)</x:f>
        <x:v>0</x:v>
      </x:c>
    </x:row>
    <x:row r="26">
      <x:c r="A26" t="n">
        <x:f>25</x:f>
        <x:v>25</x:v>
      </x:c>
      <x:c r="B26" t="n">
        <x:f>B25*(1-'01_SUPUESTOS'!Q3)+'01_SUPUESTOS'!N3</x:f>
        <x:v>7.555147565378376</x:v>
      </x:c>
      <x:c r="C26" t="n">
        <x:f>C25*(1-'01_SUPUESTOS'!Q3)+'01_SUPUESTOS'!O3</x:f>
        <x:v>2.3792116213266183</x:v>
      </x:c>
      <x:c r="D26" t="n">
        <x:f>D25*(1-'01_SUPUESTOS'!Q3)+'01_SUPUESTOS'!P3</x:f>
        <x:v>0.5948029053316546</x:v>
      </x:c>
      <x:c r="E26" t="n">
        <x:f>SUM(B26:D26)</x:f>
        <x:v>10.52916209203665</x:v>
      </x:c>
      <x:c r="F26" t="n">
        <x:f>B26*'01_SUPUESTOS'!R3</x:f>
        <x:v>982.1691834991889</x:v>
      </x:c>
      <x:c r="G26" t="n">
        <x:f>C26*'01_SUPUESTOS'!S3</x:f>
        <x:v>1308.5663917296401</x:v>
      </x:c>
      <x:c r="H26" t="n">
        <x:f>D26*'01_SUPUESTOS'!T3</x:f>
        <x:v>951.6846485306473</x:v>
      </x:c>
      <x:c r="I26" t="n">
        <x:f>SUM(F26:H26)</x:f>
        <x:v>3242.4202237594764</x:v>
      </x:c>
      <x:c r="J26" t="n">
        <x:f>B26*'01_SUPUESTOS'!B3+C26*'01_SUPUESTOS'!C3+D26*'01_SUPUESTOS'!D3</x:f>
        <x:v>11016.44020734206</x:v>
      </x:c>
      <x:c r="K26" t="n">
        <x:f>MAX(F26-B26*'01_SUPUESTOS'!E3,0)*'01_SUPUESTOS'!H3+MAX(G26-C26*'01_SUPUESTOS'!F3,0)*'01_SUPUESTOS'!I3+MAX(H26-D26*'01_SUPUESTOS'!G3,0)*'01_SUPUESTOS'!J3</x:f>
        <x:v>1556.0964537609184</x:v>
      </x:c>
      <x:c r="L26" t="n">
        <x:f>J26+K26</x:f>
        <x:v>12572.536661102979</x:v>
      </x:c>
      <x:c r="M26" t="n">
        <x:f>I26*'01_SUPUESTOS'!U3</x:f>
        <x:v>21.724215499188492</x:v>
      </x:c>
      <x:c r="N26" t="n">
        <x:f>E26*'01_SUPUESTOS'!W3</x:f>
        <x:v>631.749725522199</x:v>
      </x:c>
      <x:c r="O26" t="n">
        <x:f>M26+N26</x:f>
        <x:v>653.4739410213875</x:v>
      </x:c>
      <x:c r="P26" t="n">
        <x:f>SUM('01_SUPUESTOS'!V3,'01_SUPUESTOS'!X3:AB3)</x:f>
        <x:v>8112.08</x:v>
      </x:c>
      <x:c r="Q26" t="n">
        <x:f>L26-O26-P26</x:f>
        <x:v>3806.9827200815907</x:v>
      </x:c>
      <x:c r="R26" t="n">
        <x:f>0</x:f>
        <x:v>0</x:v>
      </x:c>
      <x:c r="S26" t="n">
        <x:f>Q26-R26</x:f>
        <x:v>3806.9827200815907</x:v>
      </x:c>
      <x:c r="T26" t="n">
        <x:f>T25+S26</x:f>
        <x:v>-51465.435783998255</x:v>
      </x:c>
      <x:c r="U26" t="n">
        <x:f>S26/(1+(1+'01_SUPUESTOS'!AF3)^(1/12)-1)^A26</x:f>
        <x:v>2391.580728106903</x:v>
      </x:c>
      <x:c r="V26" t="n">
        <x:f>IF(Q26&gt;=0,1,0)</x:f>
        <x:v>1</x:v>
      </x:c>
      <x:c r="W26" t="n">
        <x:f>IF(T26&gt;=0,1,0)</x:f>
        <x:v>0</x:v>
      </x:c>
    </x:row>
    <x:row r="27">
      <x:c r="A27" t="n">
        <x:f>26</x:f>
        <x:v>26</x:v>
      </x:c>
      <x:c r="B27" t="n">
        <x:f>B26*(1-'01_SUPUESTOS'!Q3)+'01_SUPUESTOS'!N3</x:f>
        <x:v>7.754044614070808</x:v>
      </x:c>
      <x:c r="C27" t="n">
        <x:f>C26*(1-'01_SUPUESTOS'!Q3)+'01_SUPUESTOS'!O3</x:f>
        <x:v>2.451627388900086</x:v>
      </x:c>
      <x:c r="D27" t="n">
        <x:f>D26*(1-'01_SUPUESTOS'!Q3)+'01_SUPUESTOS'!P3</x:f>
        <x:v>0.6129068472250215</x:v>
      </x:c>
      <x:c r="E27" t="n">
        <x:f>SUM(B27:D27)</x:f>
        <x:v>10.818578850195916</x:v>
      </x:c>
      <x:c r="F27" t="n">
        <x:f>B27*'01_SUPUESTOS'!R3</x:f>
        <x:v>1008.0257998292051</x:v>
      </x:c>
      <x:c r="G27" t="n">
        <x:f>C27*'01_SUPUESTOS'!S3</x:f>
        <x:v>1348.3950638950473</x:v>
      </x:c>
      <x:c r="H27" t="n">
        <x:f>D27*'01_SUPUESTOS'!T3</x:f>
        <x:v>980.6509555600345</x:v>
      </x:c>
      <x:c r="I27" t="n">
        <x:f>SUM(F27:H27)</x:f>
        <x:v>3337.071819284287</x:v>
      </x:c>
      <x:c r="J27" t="n">
        <x:f>B27*'01_SUPUESTOS'!B3+C27*'01_SUPUESTOS'!C3+D27*'01_SUPUESTOS'!D3</x:f>
        <x:v>11333.11140319522</x:v>
      </x:c>
      <x:c r="K27" t="n">
        <x:f>MAX(F27-B27*'01_SUPUESTOS'!E3,0)*'01_SUPUESTOS'!H3+MAX(G27-C27*'01_SUPUESTOS'!F3,0)*'01_SUPUESTOS'!I3+MAX(H27-D27*'01_SUPUESTOS'!G3,0)*'01_SUPUESTOS'!J3</x:f>
        <x:v>1600.9745246856987</x:v>
      </x:c>
      <x:c r="L27" t="n">
        <x:f>J27+K27</x:f>
        <x:v>12934.085927880918</x:v>
      </x:c>
      <x:c r="M27" t="n">
        <x:f>I27*'01_SUPUESTOS'!U3</x:f>
        <x:v>22.358381189204724</x:v>
      </x:c>
      <x:c r="N27" t="n">
        <x:f>E27*'01_SUPUESTOS'!W3</x:f>
        <x:v>649.114731011755</x:v>
      </x:c>
      <x:c r="O27" t="n">
        <x:f>M27+N27</x:f>
        <x:v>671.4731122009597</x:v>
      </x:c>
      <x:c r="P27" t="n">
        <x:f>SUM('01_SUPUESTOS'!V3,'01_SUPUESTOS'!X3:AB3)</x:f>
        <x:v>8112.08</x:v>
      </x:c>
      <x:c r="Q27" t="n">
        <x:f>L27-O27-P27</x:f>
        <x:v>4150.532815679959</x:v>
      </x:c>
      <x:c r="R27" t="n">
        <x:f>0</x:f>
        <x:v>0</x:v>
      </x:c>
      <x:c r="S27" t="n">
        <x:f>Q27-R27</x:f>
        <x:v>4150.532815679959</x:v>
      </x:c>
      <x:c r="T27" t="n">
        <x:f>T26+S27</x:f>
        <x:v>-47314.902968318296</x:v>
      </x:c>
      <x:c r="U27" t="n">
        <x:f>S27/(1+(1+'01_SUPUESTOS'!AF3)^(1/12)-1)^A27</x:f>
        <x:v>2559.3645903992606</x:v>
      </x:c>
      <x:c r="V27" t="n">
        <x:f>IF(Q27&gt;=0,1,0)</x:f>
        <x:v>1</x:v>
      </x:c>
      <x:c r="W27" t="n">
        <x:f>IF(T27&gt;=0,1,0)</x:f>
        <x:v>0</x:v>
      </x:c>
    </x:row>
    <x:row r="28">
      <x:c r="A28" t="n">
        <x:f>27</x:f>
        <x:v>27</x:v>
      </x:c>
      <x:c r="B28" t="n">
        <x:f>B27*(1-'01_SUPUESTOS'!Q3)+'01_SUPUESTOS'!N3</x:f>
        <x:v>7.948963721789391</x:v>
      </x:c>
      <x:c r="C28" t="n">
        <x:f>C27*(1-'01_SUPUESTOS'!Q3)+'01_SUPUESTOS'!O3</x:f>
        <x:v>2.5225948411220847</x:v>
      </x:c>
      <x:c r="D28" t="n">
        <x:f>D27*(1-'01_SUPUESTOS'!Q3)+'01_SUPUESTOS'!P3</x:f>
        <x:v>0.6306487102805212</x:v>
      </x:c>
      <x:c r="E28" t="n">
        <x:f>SUM(B28:D28)</x:f>
        <x:v>11.102207273191997</x:v>
      </x:c>
      <x:c r="F28" t="n">
        <x:f>B28*'01_SUPUESTOS'!R3</x:f>
        <x:v>1033.365283832621</x:v>
      </x:c>
      <x:c r="G28" t="n">
        <x:f>C28*'01_SUPUESTOS'!S3</x:f>
        <x:v>1387.4271626171465</x:v>
      </x:c>
      <x:c r="H28" t="n">
        <x:f>D28*'01_SUPUESTOS'!T3</x:f>
        <x:v>1009.0379364488339</x:v>
      </x:c>
      <x:c r="I28" t="n">
        <x:f>SUM(F28:H28)</x:f>
        <x:v>3429.8303828986013</x:v>
      </x:c>
      <x:c r="J28" t="n">
        <x:f>B28*'01_SUPUESTOS'!B3+C28*'01_SUPUESTOS'!C3+D28*'01_SUPUESTOS'!D3</x:f>
        <x:v>11643.449175131314</x:v>
      </x:c>
      <x:c r="K28" t="n">
        <x:f>MAX(F28-B28*'01_SUPUESTOS'!E3,0)*'01_SUPUESTOS'!H3+MAX(G28-C28*'01_SUPUESTOS'!F3,0)*'01_SUPUESTOS'!I3+MAX(H28-D28*'01_SUPUESTOS'!G3,0)*'01_SUPUESTOS'!J3</x:f>
        <x:v>1644.9550341919853</x:v>
      </x:c>
      <x:c r="L28" t="n">
        <x:f>J28+K28</x:f>
        <x:v>13288.4042093233</x:v>
      </x:c>
      <x:c r="M28" t="n">
        <x:f>I28*'01_SUPUESTOS'!U3</x:f>
        <x:v>22.97986356542063</x:v>
      </x:c>
      <x:c r="N28" t="n">
        <x:f>E28*'01_SUPUESTOS'!W3</x:f>
        <x:v>666.1324363915198</x:v>
      </x:c>
      <x:c r="O28" t="n">
        <x:f>M28+N28</x:f>
        <x:v>689.1122999569404</x:v>
      </x:c>
      <x:c r="P28" t="n">
        <x:f>SUM('01_SUPUESTOS'!V3,'01_SUPUESTOS'!X3:AB3)</x:f>
        <x:v>8112.08</x:v>
      </x:c>
      <x:c r="Q28" t="n">
        <x:f>L28-O28-P28</x:f>
        <x:v>4487.2119093663605</x:v>
      </x:c>
      <x:c r="R28" t="n">
        <x:f>0</x:f>
        <x:v>0</x:v>
      </x:c>
      <x:c r="S28" t="n">
        <x:f>Q28-R28</x:f>
        <x:v>4487.2119093663605</x:v>
      </x:c>
      <x:c r="T28" t="n">
        <x:f>T27+S28</x:f>
        <x:v>-42827.69105895194</x:v>
      </x:c>
      <x:c r="U28" t="n">
        <x:f>S28/(1+(1+'01_SUPUESTOS'!AF3)^(1/12)-1)^A28</x:f>
        <x:v>2715.9955271055164</x:v>
      </x:c>
      <x:c r="V28" t="n">
        <x:f>IF(Q28&gt;=0,1,0)</x:f>
        <x:v>1</x:v>
      </x:c>
      <x:c r="W28" t="n">
        <x:f>IF(T28&gt;=0,1,0)</x:f>
        <x:v>0</x:v>
      </x:c>
    </x:row>
    <x:row r="29">
      <x:c r="A29" t="n">
        <x:f>28</x:f>
        <x:v>28</x:v>
      </x:c>
      <x:c r="B29" t="n">
        <x:f>B28*(1-'01_SUPUESTOS'!Q3)+'01_SUPUESTOS'!N3</x:f>
        <x:v>8.139984447353603</x:v>
      </x:c>
      <x:c r="C29" t="n">
        <x:f>C28*(1-'01_SUPUESTOS'!Q3)+'01_SUPUESTOS'!O3</x:f>
        <x:v>2.592142944299643</x:v>
      </x:c>
      <x:c r="D29" t="n">
        <x:f>D28*(1-'01_SUPUESTOS'!Q3)+'01_SUPUESTOS'!P3</x:f>
        <x:v>0.6480357360749107</x:v>
      </x:c>
      <x:c r="E29" t="n">
        <x:f>SUM(B29:D29)</x:f>
        <x:v>11.380163127728158</x:v>
      </x:c>
      <x:c r="F29" t="n">
        <x:f>B29*'01_SUPUESTOS'!R3</x:f>
        <x:v>1058.1979781559685</x:v>
      </x:c>
      <x:c r="G29" t="n">
        <x:f>C29*'01_SUPUESTOS'!S3</x:f>
        <x:v>1425.6786193648036</x:v>
      </x:c>
      <x:c r="H29" t="n">
        <x:f>D29*'01_SUPUESTOS'!T3</x:f>
        <x:v>1036.8571777198572</x:v>
      </x:c>
      <x:c r="I29" t="n">
        <x:f>SUM(F29:H29)</x:f>
        <x:v>3520.7337752406293</x:v>
      </x:c>
      <x:c r="J29" t="n">
        <x:f>B29*'01_SUPUESTOS'!B3+C29*'01_SUPUESTOS'!C3+D29*'01_SUPUESTOS'!D3</x:f>
        <x:v>11947.58019162869</x:v>
      </x:c>
      <x:c r="K29" t="n">
        <x:f>MAX(F29-B29*'01_SUPUESTOS'!E3,0)*'01_SUPUESTOS'!H3+MAX(G29-C29*'01_SUPUESTOS'!F3,0)*'01_SUPUESTOS'!I3+MAX(H29-D29*'01_SUPUESTOS'!G3,0)*'01_SUPUESTOS'!J3</x:f>
        <x:v>1688.0559335081462</x:v>
      </x:c>
      <x:c r="L29" t="n">
        <x:f>J29+K29</x:f>
        <x:v>13635.636125136836</x:v>
      </x:c>
      <x:c r="M29" t="n">
        <x:f>I29*'01_SUPUESTOS'!U3</x:f>
        <x:v>23.588916294112217</x:v>
      </x:c>
      <x:c r="N29" t="n">
        <x:f>E29*'01_SUPUESTOS'!W3</x:f>
        <x:v>682.8097876636895</x:v>
      </x:c>
      <x:c r="O29" t="n">
        <x:f>M29+N29</x:f>
        <x:v>706.3987039578017</x:v>
      </x:c>
      <x:c r="P29" t="n">
        <x:f>SUM('01_SUPUESTOS'!V3,'01_SUPUESTOS'!X3:AB3)</x:f>
        <x:v>8112.08</x:v>
      </x:c>
      <x:c r="Q29" t="n">
        <x:f>L29-O29-P29</x:f>
        <x:v>4817.157421179034</x:v>
      </x:c>
      <x:c r="R29" t="n">
        <x:f>0</x:f>
        <x:v>0</x:v>
      </x:c>
      <x:c r="S29" t="n">
        <x:f>Q29-R29</x:f>
        <x:v>4817.157421179034</x:v>
      </x:c>
      <x:c r="T29" t="n">
        <x:f>T28+S29</x:f>
        <x:v>-38010.5336377729</x:v>
      </x:c>
      <x:c r="U29" t="n">
        <x:f>S29/(1+(1+'01_SUPUESTOS'!AF3)^(1/12)-1)^A29</x:f>
        <x:v>2861.9858042751507</x:v>
      </x:c>
      <x:c r="V29" t="n">
        <x:f>IF(Q29&gt;=0,1,0)</x:f>
        <x:v>1</x:v>
      </x:c>
      <x:c r="W29" t="n">
        <x:f>IF(T29&gt;=0,1,0)</x:f>
        <x:v>0</x:v>
      </x:c>
    </x:row>
    <x:row r="30">
      <x:c r="A30" t="n">
        <x:f>29</x:f>
        <x:v>29</x:v>
      </x:c>
      <x:c r="B30" t="n">
        <x:f>B29*(1-'01_SUPUESTOS'!Q3)+'01_SUPUESTOS'!N3</x:f>
        <x:v>8.327184758406531</x:v>
      </x:c>
      <x:c r="C30" t="n">
        <x:f>C29*(1-'01_SUPUESTOS'!Q3)+'01_SUPUESTOS'!O3</x:f>
        <x:v>2.6603000854136503</x:v>
      </x:c>
      <x:c r="D30" t="n">
        <x:f>D29*(1-'01_SUPUESTOS'!Q3)+'01_SUPUESTOS'!P3</x:f>
        <x:v>0.6650750213534126</x:v>
      </x:c>
      <x:c r="E30" t="n">
        <x:f>SUM(B30:D30)</x:f>
        <x:v>11.652559865173595</x:v>
      </x:c>
      <x:c r="F30" t="n">
        <x:f>B30*'01_SUPUESTOS'!R3</x:f>
        <x:v>1082.534018592849</x:v>
      </x:c>
      <x:c r="G30" t="n">
        <x:f>C30*'01_SUPUESTOS'!S3</x:f>
        <x:v>1463.1650469775077</x:v>
      </x:c>
      <x:c r="H30" t="n">
        <x:f>D30*'01_SUPUESTOS'!T3</x:f>
        <x:v>1064.12003416546</x:v>
      </x:c>
      <x:c r="I30" t="n">
        <x:f>SUM(F30:H30)</x:f>
        <x:v>3609.819099735817</x:v>
      </x:c>
      <x:c r="J30" t="n">
        <x:f>B30*'01_SUPUESTOS'!B3+C30*'01_SUPUESTOS'!C3+D30*'01_SUPUESTOS'!D3</x:f>
        <x:v>12245.628587796115</x:v>
      </x:c>
      <x:c r="K30" t="n">
        <x:f>MAX(F30-B30*'01_SUPUESTOS'!E3,0)*'01_SUPUESTOS'!H3+MAX(G30-C30*'01_SUPUESTOS'!F3,0)*'01_SUPUESTOS'!I3+MAX(H30-D30*'01_SUPUESTOS'!G3,0)*'01_SUPUESTOS'!J3</x:f>
        <x:v>1730.294814837982</x:v>
      </x:c>
      <x:c r="L30" t="n">
        <x:f>J30+K30</x:f>
        <x:v>13975.923402634096</x:v>
      </x:c>
      <x:c r="M30" t="n">
        <x:f>I30*'01_SUPUESTOS'!U3</x:f>
        <x:v>24.185787968229974</x:v>
      </x:c>
      <x:c r="N30" t="n">
        <x:f>E30*'01_SUPUESTOS'!W3</x:f>
        <x:v>699.1535919104157</x:v>
      </x:c>
      <x:c r="O30" t="n">
        <x:f>M30+N30</x:f>
        <x:v>723.3393798786457</x:v>
      </x:c>
      <x:c r="P30" t="n">
        <x:f>SUM('01_SUPUESTOS'!V3,'01_SUPUESTOS'!X3:AB3)</x:f>
        <x:v>8112.08</x:v>
      </x:c>
      <x:c r="Q30" t="n">
        <x:f>L30-O30-P30</x:f>
        <x:v>5140.504022755451</x:v>
      </x:c>
      <x:c r="R30" t="n">
        <x:f>0</x:f>
        <x:v>0</x:v>
      </x:c>
      <x:c r="S30" t="n">
        <x:f>Q30-R30</x:f>
        <x:v>5140.504022755451</x:v>
      </x:c>
      <x:c r="T30" t="n">
        <x:f>T29+S30</x:f>
        <x:v>-32870.029615017454</x:v>
      </x:c>
      <x:c r="U30" t="n">
        <x:f>S30/(1+(1+'01_SUPUESTOS'!AF3)^(1/12)-1)^A30</x:f>
        <x:v>2997.826575328277</x:v>
      </x:c>
      <x:c r="V30" t="n">
        <x:f>IF(Q30&gt;=0,1,0)</x:f>
        <x:v>1</x:v>
      </x:c>
      <x:c r="W30" t="n">
        <x:f>IF(T30&gt;=0,1,0)</x:f>
        <x:v>0</x:v>
      </x:c>
    </x:row>
    <x:row r="31">
      <x:c r="A31" t="n">
        <x:f>30</x:f>
        <x:v>30</x:v>
      </x:c>
      <x:c r="B31" t="n">
        <x:f>B30*(1-'01_SUPUESTOS'!Q3)+'01_SUPUESTOS'!N3</x:f>
        <x:v>8.5106410632384</x:v>
      </x:c>
      <x:c r="C31" t="n">
        <x:f>C30*(1-'01_SUPUESTOS'!Q3)+'01_SUPUESTOS'!O3</x:f>
        <x:v>2.7270940837053774</x:v>
      </x:c>
      <x:c r="D31" t="n">
        <x:f>D30*(1-'01_SUPUESTOS'!Q3)+'01_SUPUESTOS'!P3</x:f>
        <x:v>0.6817735209263444</x:v>
      </x:c>
      <x:c r="E31" t="n">
        <x:f>SUM(B31:D31)</x:f>
        <x:v>11.919508667870122</x:v>
      </x:c>
      <x:c r="F31" t="n">
        <x:f>B31*'01_SUPUESTOS'!R3</x:f>
        <x:v>1106.383338220992</x:v>
      </x:c>
      <x:c r="G31" t="n">
        <x:f>C31*'01_SUPUESTOS'!S3</x:f>
        <x:v>1499.9017460379575</x:v>
      </x:c>
      <x:c r="H31" t="n">
        <x:f>D31*'01_SUPUESTOS'!T3</x:f>
        <x:v>1090.837633482151</x:v>
      </x:c>
      <x:c r="I31" t="n">
        <x:f>SUM(F31:H31)</x:f>
        <x:v>3697.1227177411006</x:v>
      </x:c>
      <x:c r="J31" t="n">
        <x:f>B31*'01_SUPUESTOS'!B3+C31*'01_SUPUESTOS'!C3+D31*'01_SUPUESTOS'!D3</x:f>
        <x:v>12537.716016040195</x:v>
      </x:c>
      <x:c r="K31" t="n">
        <x:f>MAX(F31-B31*'01_SUPUESTOS'!E3,0)*'01_SUPUESTOS'!H3+MAX(G31-C31*'01_SUPUESTOS'!F3,0)*'01_SUPUESTOS'!I3+MAX(H31-D31*'01_SUPUESTOS'!G3,0)*'01_SUPUESTOS'!J3</x:f>
        <x:v>1771.6889185412228</x:v>
      </x:c>
      <x:c r="L31" t="n">
        <x:f>J31+K31</x:f>
        <x:v>14309.404934581416</x:v>
      </x:c>
      <x:c r="M31" t="n">
        <x:f>I31*'01_SUPUESTOS'!U3</x:f>
        <x:v>24.770722208865376</x:v>
      </x:c>
      <x:c r="N31" t="n">
        <x:f>E31*'01_SUPUESTOS'!W3</x:f>
        <x:v>715.1705200722073</x:v>
      </x:c>
      <x:c r="O31" t="n">
        <x:f>M31+N31</x:f>
        <x:v>739.9412422810726</x:v>
      </x:c>
      <x:c r="P31" t="n">
        <x:f>SUM('01_SUPUESTOS'!V3,'01_SUPUESTOS'!X3:AB3)</x:f>
        <x:v>8112.08</x:v>
      </x:c>
      <x:c r="Q31" t="n">
        <x:f>L31-O31-P31</x:f>
        <x:v>5457.383692300344</x:v>
      </x:c>
      <x:c r="R31" t="n">
        <x:f>0</x:f>
        <x:v>0</x:v>
      </x:c>
      <x:c r="S31" t="n">
        <x:f>Q31-R31</x:f>
        <x:v>5457.383692300344</x:v>
      </x:c>
      <x:c r="T31" t="n">
        <x:f>T30+S31</x:f>
        <x:v>-27412.64592271711</x:v>
      </x:c>
      <x:c r="U31" t="n">
        <x:f>S31/(1+(1+'01_SUPUESTOS'!AF3)^(1/12)-1)^A31</x:f>
        <x:v>3123.9887143122974</x:v>
      </x:c>
      <x:c r="V31" t="n">
        <x:f>IF(Q31&gt;=0,1,0)</x:f>
        <x:v>1</x:v>
      </x:c>
      <x:c r="W31" t="n">
        <x:f>IF(T31&gt;=0,1,0)</x:f>
        <x:v>0</x:v>
      </x:c>
    </x:row>
    <x:row r="32">
      <x:c r="A32" t="n">
        <x:f>31</x:f>
        <x:v>31</x:v>
      </x:c>
      <x:c r="B32" t="n">
        <x:f>B31*(1-'01_SUPUESTOS'!Q3)+'01_SUPUESTOS'!N3</x:f>
        <x:v>8.690428241973633</x:v>
      </x:c>
      <x:c r="C32" t="n">
        <x:f>C31*(1-'01_SUPUESTOS'!Q3)+'01_SUPUESTOS'!O3</x:f>
        <x:v>2.79255220203127</x:v>
      </x:c>
      <x:c r="D32" t="n">
        <x:f>D31*(1-'01_SUPUESTOS'!Q3)+'01_SUPUESTOS'!P3</x:f>
        <x:v>0.6981380505078175</x:v>
      </x:c>
      <x:c r="E32" t="n">
        <x:f>SUM(B32:D32)</x:f>
        <x:v>12.18111849451272</x:v>
      </x:c>
      <x:c r="F32" t="n">
        <x:f>B32*'01_SUPUESTOS'!R3</x:f>
        <x:v>1129.7556714565724</x:v>
      </x:c>
      <x:c r="G32" t="n">
        <x:f>C32*'01_SUPUESTOS'!S3</x:f>
        <x:v>1535.9037111171986</x:v>
      </x:c>
      <x:c r="H32" t="n">
        <x:f>D32*'01_SUPUESTOS'!T3</x:f>
        <x:v>1117.020880812508</x:v>
      </x:c>
      <x:c r="I32" t="n">
        <x:f>SUM(F32:H32)</x:f>
        <x:v>3782.680263386279</x:v>
      </x:c>
      <x:c r="J32" t="n">
        <x:f>B32*'01_SUPUESTOS'!B3+C32*'01_SUPUESTOS'!C3+D32*'01_SUPUESTOS'!D3</x:f>
        <x:v>12823.961695719392</x:v>
      </x:c>
      <x:c r="K32" t="n">
        <x:f>MAX(F32-B32*'01_SUPUESTOS'!E3,0)*'01_SUPUESTOS'!H3+MAX(G32-C32*'01_SUPUESTOS'!F3,0)*'01_SUPUESTOS'!I3+MAX(H32-D32*'01_SUPUESTOS'!G3,0)*'01_SUPUESTOS'!J3</x:f>
        <x:v>1812.255140170399</x:v>
      </x:c>
      <x:c r="L32" t="n">
        <x:f>J32+K32</x:f>
        <x:v>14636.21683588979</x:v>
      </x:c>
      <x:c r="M32" t="n">
        <x:f>I32*'01_SUPUESTOS'!U3</x:f>
        <x:v>25.34395776468807</x:v>
      </x:c>
      <x:c r="N32" t="n">
        <x:f>E32*'01_SUPUESTOS'!W3</x:f>
        <x:v>730.8671096707632</x:v>
      </x:c>
      <x:c r="O32" t="n">
        <x:f>M32+N32</x:f>
        <x:v>756.2110674354512</x:v>
      </x:c>
      <x:c r="P32" t="n">
        <x:f>SUM('01_SUPUESTOS'!V3,'01_SUPUESTOS'!X3:AB3)</x:f>
        <x:v>8112.08</x:v>
      </x:c>
      <x:c r="Q32" t="n">
        <x:f>L32-O32-P32</x:f>
        <x:v>5767.925768454339</x:v>
      </x:c>
      <x:c r="R32" t="n">
        <x:f>0</x:f>
        <x:v>0</x:v>
      </x:c>
      <x:c r="S32" t="n">
        <x:f>Q32-R32</x:f>
        <x:v>5767.925768454339</x:v>
      </x:c>
      <x:c r="T32" t="n">
        <x:f>T31+S32</x:f>
        <x:v>-21644.720154262774</x:v>
      </x:c>
      <x:c r="U32" t="n">
        <x:f>S32/(1+(1+'01_SUPUESTOS'!AF3)^(1/12)-1)^A32</x:f>
        <x:v>3240.9236168996467</x:v>
      </x:c>
      <x:c r="V32" t="n">
        <x:f>IF(Q32&gt;=0,1,0)</x:f>
        <x:v>1</x:v>
      </x:c>
      <x:c r="W32" t="n">
        <x:f>IF(T32&gt;=0,1,0)</x:f>
        <x:v>0</x:v>
      </x:c>
    </x:row>
    <x:row r="33">
      <x:c r="A33" t="n">
        <x:f>32</x:f>
        <x:v>32</x:v>
      </x:c>
      <x:c r="B33" t="n">
        <x:f>B32*(1-'01_SUPUESTOS'!Q3)+'01_SUPUESTOS'!N3</x:f>
        <x:v>8.86661967713416</x:v>
      </x:c>
      <x:c r="C33" t="n">
        <x:f>C32*(1-'01_SUPUESTOS'!Q3)+'01_SUPUESTOS'!O3</x:f>
        <x:v>2.8567011579906447</x:v>
      </x:c>
      <x:c r="D33" t="n">
        <x:f>D32*(1-'01_SUPUESTOS'!Q3)+'01_SUPUESTOS'!P3</x:f>
        <x:v>0.7141752894976612</x:v>
      </x:c>
      <x:c r="E33" t="n">
        <x:f>SUM(B33:D33)</x:f>
        <x:v>12.437496124622466</x:v>
      </x:c>
      <x:c r="F33" t="n">
        <x:f>B33*'01_SUPUESTOS'!R3</x:f>
        <x:v>1152.6605580274409</x:v>
      </x:c>
      <x:c r="G33" t="n">
        <x:f>C33*'01_SUPUESTOS'!S3</x:f>
        <x:v>1571.1856368948545</x:v>
      </x:c>
      <x:c r="H33" t="n">
        <x:f>D33*'01_SUPUESTOS'!T3</x:f>
        <x:v>1142.680463196258</x:v>
      </x:c>
      <x:c r="I33" t="n">
        <x:f>SUM(F33:H33)</x:f>
        <x:v>3866.5266581185533</x:v>
      </x:c>
      <x:c r="J33" t="n">
        <x:f>B33*'01_SUPUESTOS'!B3+C33*'01_SUPUESTOS'!C3+D33*'01_SUPUESTOS'!D3</x:f>
        <x:v>13104.482461805002</x:v>
      </x:c>
      <x:c r="K33" t="n">
        <x:f>MAX(F33-B33*'01_SUPUESTOS'!E3,0)*'01_SUPUESTOS'!H3+MAX(G33-C33*'01_SUPUESTOS'!F3,0)*'01_SUPUESTOS'!I3+MAX(H33-D33*'01_SUPUESTOS'!G3,0)*'01_SUPUESTOS'!J3</x:f>
        <x:v>1852.0100373669907</x:v>
      </x:c>
      <x:c r="L33" t="n">
        <x:f>J33+K33</x:f>
        <x:v>14956.492499171993</x:v>
      </x:c>
      <x:c r="M33" t="n">
        <x:f>I33*'01_SUPUESTOS'!U3</x:f>
        <x:v>25.90572860939431</x:v>
      </x:c>
      <x:c r="N33" t="n">
        <x:f>E33*'01_SUPUESTOS'!W3</x:f>
        <x:v>746.249767477348</x:v>
      </x:c>
      <x:c r="O33" t="n">
        <x:f>M33+N33</x:f>
        <x:v>772.1554960867422</x:v>
      </x:c>
      <x:c r="P33" t="n">
        <x:f>SUM('01_SUPUESTOS'!V3,'01_SUPUESTOS'!X3:AB3)</x:f>
        <x:v>8112.08</x:v>
      </x:c>
      <x:c r="Q33" t="n">
        <x:f>L33-O33-P33</x:f>
        <x:v>6072.257003085251</x:v>
      </x:c>
      <x:c r="R33" t="n">
        <x:f>0</x:f>
        <x:v>0</x:v>
      </x:c>
      <x:c r="S33" t="n">
        <x:f>Q33-R33</x:f>
        <x:v>6072.257003085251</x:v>
      </x:c>
      <x:c r="T33" t="n">
        <x:f>T32+S33</x:f>
        <x:v>-15572.463151177522</x:v>
      </x:c>
      <x:c r="U33" t="n">
        <x:f>S33/(1+(1+'01_SUPUESTOS'!AF3)^(1/12)-1)^A33</x:f>
        <x:v>3349.0639703644065</x:v>
      </x:c>
      <x:c r="V33" t="n">
        <x:f>IF(Q33&gt;=0,1,0)</x:f>
        <x:v>1</x:v>
      </x:c>
      <x:c r="W33" t="n">
        <x:f>IF(T33&gt;=0,1,0)</x:f>
        <x:v>0</x:v>
      </x:c>
    </x:row>
    <x:row r="34">
      <x:c r="A34" t="n">
        <x:f>33</x:f>
        <x:v>33</x:v>
      </x:c>
      <x:c r="B34" t="n">
        <x:f>B33*(1-'01_SUPUESTOS'!Q3)+'01_SUPUESTOS'!N3</x:f>
        <x:v>9.039287283591477</x:v>
      </x:c>
      <x:c r="C34" t="n">
        <x:f>C33*(1-'01_SUPUESTOS'!Q3)+'01_SUPUESTOS'!O3</x:f>
        <x:v>2.919567134830832</x:v>
      </x:c>
      <x:c r="D34" t="n">
        <x:f>D33*(1-'01_SUPUESTOS'!Q3)+'01_SUPUESTOS'!P3</x:f>
        <x:v>0.729891783707708</x:v>
      </x:c>
      <x:c r="E34" t="n">
        <x:f>SUM(B34:D34)</x:f>
        <x:v>12.688746202130018</x:v>
      </x:c>
      <x:c r="F34" t="n">
        <x:f>B34*'01_SUPUESTOS'!R3</x:f>
        <x:v>1175.107346866892</x:v>
      </x:c>
      <x:c r="G34" t="n">
        <x:f>C34*'01_SUPUESTOS'!S3</x:f>
        <x:v>1605.7619241569575</x:v>
      </x:c>
      <x:c r="H34" t="n">
        <x:f>D34*'01_SUPUESTOS'!T3</x:f>
        <x:v>1167.8268539323328</x:v>
      </x:c>
      <x:c r="I34" t="n">
        <x:f>SUM(F34:H34)</x:f>
        <x:v>3948.696124956182</x:v>
      </x:c>
      <x:c r="J34" t="n">
        <x:f>B34*'01_SUPUESTOS'!B3+C34*'01_SUPUESTOS'!C3+D34*'01_SUPUESTOS'!D3</x:f>
        <x:v>13379.392812568905</x:v>
      </x:c>
      <x:c r="K34" t="n">
        <x:f>MAX(F34-B34*'01_SUPUESTOS'!E3,0)*'01_SUPUESTOS'!H3+MAX(G34-C34*'01_SUPUESTOS'!F3,0)*'01_SUPUESTOS'!I3+MAX(H34-D34*'01_SUPUESTOS'!G3,0)*'01_SUPUESTOS'!J3</x:f>
        <x:v>1890.9698366196499</x:v>
      </x:c>
      <x:c r="L34" t="n">
        <x:f>J34+K34</x:f>
        <x:v>15270.362649188555</x:v>
      </x:c>
      <x:c r="M34" t="n">
        <x:f>I34*'01_SUPUESTOS'!U3</x:f>
        <x:v>26.45626403720642</x:v>
      </x:c>
      <x:c r="N34" t="n">
        <x:f>E34*'01_SUPUESTOS'!W3</x:f>
        <x:v>761.3247721278011</x:v>
      </x:c>
      <x:c r="O34" t="n">
        <x:f>M34+N34</x:f>
        <x:v>787.7810361650075</x:v>
      </x:c>
      <x:c r="P34" t="n">
        <x:f>SUM('01_SUPUESTOS'!V3,'01_SUPUESTOS'!X3:AB3)</x:f>
        <x:v>8112.08</x:v>
      </x:c>
      <x:c r="Q34" t="n">
        <x:f>L34-O34-P34</x:f>
        <x:v>6370.501613023547</x:v>
      </x:c>
      <x:c r="R34" t="n">
        <x:f>0</x:f>
        <x:v>0</x:v>
      </x:c>
      <x:c r="S34" t="n">
        <x:f>Q34-R34</x:f>
        <x:v>6370.501613023547</x:v>
      </x:c>
      <x:c r="T34" t="n">
        <x:f>T33+S34</x:f>
        <x:v>-9201.961538153975</x:v>
      </x:c>
      <x:c r="U34" t="n">
        <x:f>S34/(1+(1+'01_SUPUESTOS'!AF3)^(1/12)-1)^A34</x:f>
        <x:v>3448.824493728199</x:v>
      </x:c>
      <x:c r="V34" t="n">
        <x:f>IF(Q34&gt;=0,1,0)</x:f>
        <x:v>1</x:v>
      </x:c>
      <x:c r="W34" t="n">
        <x:f>IF(T34&gt;=0,1,0)</x:f>
        <x:v>0</x:v>
      </x:c>
    </x:row>
    <x:row r="35">
      <x:c r="A35" t="n">
        <x:f>34</x:f>
        <x:v>34</x:v>
      </x:c>
      <x:c r="B35" t="n">
        <x:f>B34*(1-'01_SUPUESTOS'!Q3)+'01_SUPUESTOS'!N3</x:f>
        <x:v>9.208501537919647</x:v>
      </x:c>
      <x:c r="C35" t="n">
        <x:f>C34*(1-'01_SUPUESTOS'!Q3)+'01_SUPUESTOS'!O3</x:f>
        <x:v>2.9811757921342155</x:v>
      </x:c>
      <x:c r="D35" t="n">
        <x:f>D34*(1-'01_SUPUESTOS'!Q3)+'01_SUPUESTOS'!P3</x:f>
        <x:v>0.7452939480335539</x:v>
      </x:c>
      <x:c r="E35" t="n">
        <x:f>SUM(B35:D35)</x:f>
        <x:v>12.934971278087415</x:v>
      </x:c>
      <x:c r="F35" t="n">
        <x:f>B35*'01_SUPUESTOS'!R3</x:f>
        <x:v>1197.1051999295541</x:v>
      </x:c>
      <x:c r="G35" t="n">
        <x:f>C35*'01_SUPUESTOS'!S3</x:f>
        <x:v>1639.6466856738184</x:v>
      </x:c>
      <x:c r="H35" t="n">
        <x:f>D35*'01_SUPUESTOS'!T3</x:f>
        <x:v>1192.4703168536862</x:v>
      </x:c>
      <x:c r="I35" t="n">
        <x:f>SUM(F35:H35)</x:f>
        <x:v>4029.2222024570588</x:v>
      </x:c>
      <x:c r="J35" t="n">
        <x:f>B35*'01_SUPUESTOS'!B3+C35*'01_SUPUESTOS'!C3+D35*'01_SUPUESTOS'!D3</x:f>
        <x:v>13648.804956317525</x:v>
      </x:c>
      <x:c r="K35" t="n">
        <x:f>MAX(F35-B35*'01_SUPUESTOS'!E3,0)*'01_SUPUESTOS'!H3+MAX(G35-C35*'01_SUPUESTOS'!F3,0)*'01_SUPUESTOS'!I3+MAX(H35-D35*'01_SUPUESTOS'!G3,0)*'01_SUPUESTOS'!J3</x:f>
        <x:v>1929.150439887259</x:v>
      </x:c>
      <x:c r="L35" t="n">
        <x:f>J35+K35</x:f>
        <x:v>15577.955396204783</x:v>
      </x:c>
      <x:c r="M35" t="n">
        <x:f>I35*'01_SUPUESTOS'!U3</x:f>
        <x:v>26.995788756462293</x:v>
      </x:c>
      <x:c r="N35" t="n">
        <x:f>E35*'01_SUPUESTOS'!W3</x:f>
        <x:v>776.098276685245</x:v>
      </x:c>
      <x:c r="O35" t="n">
        <x:f>M35+N35</x:f>
        <x:v>803.0940654417072</x:v>
      </x:c>
      <x:c r="P35" t="n">
        <x:f>SUM('01_SUPUESTOS'!V3,'01_SUPUESTOS'!X3:AB3)</x:f>
        <x:v>8112.08</x:v>
      </x:c>
      <x:c r="Q35" t="n">
        <x:f>L35-O35-P35</x:f>
        <x:v>6662.781330763077</x:v>
      </x:c>
      <x:c r="R35" t="n">
        <x:f>0</x:f>
        <x:v>0</x:v>
      </x:c>
      <x:c r="S35" t="n">
        <x:f>Q35-R35</x:f>
        <x:v>6662.781330763077</x:v>
      </x:c>
      <x:c r="T35" t="n">
        <x:f>T34+S35</x:f>
        <x:v>-2539.1802073908984</x:v>
      </x:c>
      <x:c r="U35" t="n">
        <x:f>S35/(1+(1+'01_SUPUESTOS'!AF3)^(1/12)-1)^A35</x:f>
        <x:v>3540.6026492203177</x:v>
      </x:c>
      <x:c r="V35" t="n">
        <x:f>IF(Q35&gt;=0,1,0)</x:f>
        <x:v>1</x:v>
      </x:c>
      <x:c r="W35" t="n">
        <x:f>IF(T35&gt;=0,1,0)</x:f>
        <x:v>0</x:v>
      </x:c>
    </x:row>
    <x:row r="36">
      <x:c r="A36" t="n">
        <x:f>35</x:f>
        <x:v>35</x:v>
      </x:c>
      <x:c r="B36" t="n">
        <x:f>B35*(1-'01_SUPUESTOS'!Q3)+'01_SUPUESTOS'!N3</x:f>
        <x:v>9.374331507161253</x:v>
      </x:c>
      <x:c r="C36" t="n">
        <x:f>C35*(1-'01_SUPUESTOS'!Q3)+'01_SUPUESTOS'!O3</x:f>
        <x:v>3.0415522762915312</x:v>
      </x:c>
      <x:c r="D36" t="n">
        <x:f>D35*(1-'01_SUPUESTOS'!Q3)+'01_SUPUESTOS'!P3</x:f>
        <x:v>0.7603880690728828</x:v>
      </x:c>
      <x:c r="E36" t="n">
        <x:f>SUM(B36:D36)</x:f>
        <x:v>13.176271852525668</x:v>
      </x:c>
      <x:c r="F36" t="n">
        <x:f>B36*'01_SUPUESTOS'!R3</x:f>
        <x:v>1218.663095930963</x:v>
      </x:c>
      <x:c r="G36" t="n">
        <x:f>C36*'01_SUPUESTOS'!S3</x:f>
        <x:v>1672.8537519603422</x:v>
      </x:c>
      <x:c r="H36" t="n">
        <x:f>D36*'01_SUPUESTOS'!T3</x:f>
        <x:v>1216.6209105166124</x:v>
      </x:c>
      <x:c r="I36" t="n">
        <x:f>SUM(F36:H36)</x:f>
        <x:v>4108.137758407917</x:v>
      </x:c>
      <x:c r="J36" t="n">
        <x:f>B36*'01_SUPUESTOS'!B3+C36*'01_SUPUESTOS'!C3+D36*'01_SUPUESTOS'!D3</x:f>
        <x:v>13912.828857191176</x:v>
      </x:c>
      <x:c r="K36" t="n">
        <x:f>MAX(F36-B36*'01_SUPUESTOS'!E3,0)*'01_SUPUESTOS'!H3+MAX(G36-C36*'01_SUPUESTOS'!F3,0)*'01_SUPUESTOS'!I3+MAX(H36-D36*'01_SUPUESTOS'!G3,0)*'01_SUPUESTOS'!J3</x:f>
        <x:v>1966.5674310895138</x:v>
      </x:c>
      <x:c r="L36" t="n">
        <x:f>J36+K36</x:f>
        <x:v>15879.39628828069</x:v>
      </x:c>
      <x:c r="M36" t="n">
        <x:f>I36*'01_SUPUESTOS'!U3</x:f>
        <x:v>27.524522981333046</x:v>
      </x:c>
      <x:c r="N36" t="n">
        <x:f>E36*'01_SUPUESTOS'!W3</x:f>
        <x:v>790.57631115154</x:v>
      </x:c>
      <x:c r="O36" t="n">
        <x:f>M36+N36</x:f>
        <x:v>818.100834132873</x:v>
      </x:c>
      <x:c r="P36" t="n">
        <x:f>SUM('01_SUPUESTOS'!V3,'01_SUPUESTOS'!X3:AB3)</x:f>
        <x:v>8112.08</x:v>
      </x:c>
      <x:c r="Q36" t="n">
        <x:f>L36-O36-P36</x:f>
        <x:v>6949.215454147818</x:v>
      </x:c>
      <x:c r="R36" t="n">
        <x:f>0</x:f>
        <x:v>0</x:v>
      </x:c>
      <x:c r="S36" t="n">
        <x:f>Q36-R36</x:f>
        <x:v>6949.215454147818</x:v>
      </x:c>
      <x:c r="T36" t="n">
        <x:f>T35+S36</x:f>
        <x:v>4410.035246756919</x:v>
      </x:c>
      <x:c r="U36" t="n">
        <x:f>S36/(1+(1+'01_SUPUESTOS'!AF3)^(1/12)-1)^A36</x:f>
        <x:v>3624.779326153327</x:v>
      </x:c>
      <x:c r="V36" t="n">
        <x:f>IF(Q36&gt;=0,1,0)</x:f>
        <x:v>1</x:v>
      </x:c>
      <x:c r="W36" t="n">
        <x:f>IF(T36&gt;=0,1,0)</x:f>
        <x:v>1</x:v>
      </x:c>
    </x:row>
    <x:row r="37">
      <x:c r="A37" t="n">
        <x:f>36</x:f>
        <x:v>36</x:v>
      </x:c>
      <x:c r="B37" t="n">
        <x:f>B36*(1-'01_SUPUESTOS'!Q3)+'01_SUPUESTOS'!N3</x:f>
        <x:v>9.536844877018028</x:v>
      </x:c>
      <x:c r="C37" t="n">
        <x:f>C36*(1-'01_SUPUESTOS'!Q3)+'01_SUPUESTOS'!O3</x:f>
        <x:v>3.100721230765701</x:v>
      </x:c>
      <x:c r="D37" t="n">
        <x:f>D36*(1-'01_SUPUESTOS'!Q3)+'01_SUPUESTOS'!P3</x:f>
        <x:v>0.7751803076914252</x:v>
      </x:c>
      <x:c r="E37" t="n">
        <x:f>SUM(B37:D37)</x:f>
        <x:v>13.412746415475155</x:v>
      </x:c>
      <x:c r="F37" t="n">
        <x:f>B37*'01_SUPUESTOS'!R3</x:f>
        <x:v>1239.7898340123436</x:v>
      </x:c>
      <x:c r="G37" t="n">
        <x:f>C37*'01_SUPUESTOS'!S3</x:f>
        <x:v>1705.3966769211354</x:v>
      </x:c>
      <x:c r="H37" t="n">
        <x:f>D37*'01_SUPUESTOS'!T3</x:f>
        <x:v>1240.2884923062804</x:v>
      </x:c>
      <x:c r="I37" t="n">
        <x:f>SUM(F37:H37)</x:f>
        <x:v>4185.47500323976</x:v>
      </x:c>
      <x:c r="J37" t="n">
        <x:f>B37*'01_SUPUESTOS'!B3+C37*'01_SUPUESTOS'!C3+D37*'01_SUPUESTOS'!D3</x:f>
        <x:v>14171.572280047352</x:v>
      </x:c>
      <x:c r="K37" t="n">
        <x:f>MAX(F37-B37*'01_SUPUESTOS'!E3,0)*'01_SUPUESTOS'!H3+MAX(G37-C37*'01_SUPUESTOS'!F3,0)*'01_SUPUESTOS'!I3+MAX(H37-D37*'01_SUPUESTOS'!G3,0)*'01_SUPUESTOS'!J3</x:f>
        <x:v>2003.236082467722</x:v>
      </x:c>
      <x:c r="L37" t="n">
        <x:f>J37+K37</x:f>
        <x:v>16174.808362515074</x:v>
      </x:c>
      <x:c r="M37" t="n">
        <x:f>I37*'01_SUPUESTOS'!U3</x:f>
        <x:v>28.04268252170639</x:v>
      </x:c>
      <x:c r="N37" t="n">
        <x:f>E37*'01_SUPUESTOS'!W3</x:f>
        <x:v>804.7647849285092</x:v>
      </x:c>
      <x:c r="O37" t="n">
        <x:f>M37+N37</x:f>
        <x:v>832.8074674502157</x:v>
      </x:c>
      <x:c r="P37" t="n">
        <x:f>SUM('01_SUPUESTOS'!V3,'01_SUPUESTOS'!X3:AB3)</x:f>
        <x:v>8112.08</x:v>
      </x:c>
      <x:c r="Q37" t="n">
        <x:f>L37-O37-P37</x:f>
        <x:v>7229.920895064859</x:v>
      </x:c>
      <x:c r="R37" t="n">
        <x:f>0</x:f>
        <x:v>0</x:v>
      </x:c>
      <x:c r="S37" t="n">
        <x:f>Q37-R37</x:f>
        <x:v>7229.920895064859</x:v>
      </x:c>
      <x:c r="T37" t="n">
        <x:f>T36+S37</x:f>
        <x:v>11639.956141821778</x:v>
      </x:c>
      <x:c r="U37" t="n">
        <x:f>S37/(1+(1+'01_SUPUESTOS'!AF3)^(1/12)-1)^A37</x:f>
        <x:v>3701.719498273225</x:v>
      </x:c>
      <x:c r="V37" t="n">
        <x:f>IF(Q37&gt;=0,1,0)</x:f>
        <x:v>1</x:v>
      </x:c>
      <x:c r="W37" t="n">
        <x:f>IF(T37&gt;=0,1,0)</x:f>
        <x:v>1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2" hidden="0" customWidth="1"/>
  </x:cols>
  <x:sheetData>
    <x:row r="1">
      <x:c r="A1" s="6" t="str">
        <x:v>Mes</x:v>
      </x:c>
      <x:c r="B1" s="6" t="str">
        <x:v>Clientes S</x:v>
      </x:c>
      <x:c r="C1" s="6" t="str">
        <x:v>Clientes P</x:v>
      </x:c>
      <x:c r="D1" s="6" t="str">
        <x:v>Clientes E</x:v>
      </x:c>
      <x:c r="E1" s="6" t="str">
        <x:v>Clientes Total</x:v>
      </x:c>
      <x:c r="F1" s="6" t="str">
        <x:v>Estudios S</x:v>
      </x:c>
      <x:c r="G1" s="6" t="str">
        <x:v>Estudios P</x:v>
      </x:c>
      <x:c r="H1" s="6" t="str">
        <x:v>Estudios E</x:v>
      </x:c>
      <x:c r="I1" s="6" t="str">
        <x:v>Estudios Total</x:v>
      </x:c>
      <x:c r="J1" s="6" t="str">
        <x:v>Suscripciones</x:v>
      </x:c>
      <x:c r="K1" s="6" t="str">
        <x:v>Excedentes</x:v>
      </x:c>
      <x:c r="L1" s="6" t="str">
        <x:v>Ingresos</x:v>
      </x:c>
      <x:c r="M1" s="6" t="str">
        <x:v>Cloud variable</x:v>
      </x:c>
      <x:c r="N1" s="6" t="str">
        <x:v>Soporte variable</x:v>
      </x:c>
      <x:c r="O1" s="6" t="str">
        <x:v>Variables total</x:v>
      </x:c>
      <x:c r="P1" s="6" t="str">
        <x:v>Fijos total</x:v>
      </x:c>
      <x:c r="Q1" s="6" t="str">
        <x:v>Operativo</x:v>
      </x:c>
      <x:c r="R1" s="6" t="str">
        <x:v>CAPEX</x:v>
      </x:c>
      <x:c r="S1" s="6" t="str">
        <x:v>Flujo neto</x:v>
      </x:c>
      <x:c r="T1" s="6" t="str">
        <x:v>Acumulado</x:v>
      </x:c>
      <x:c r="U1" s="6" t="str">
        <x:v>Flujo descontado</x:v>
      </x:c>
      <x:c r="V1" t="str">
        <x:v>Equilibrio flag</x:v>
      </x:c>
      <x:c r="W1" t="str">
        <x:v>Payback flag</x:v>
      </x:c>
    </x:row>
    <x:row r="2">
      <x:c r="A2" t="n">
        <x:f>1</x:f>
        <x:v>1</x:v>
      </x:c>
      <x:c r="B2" t="n">
        <x:f>'01_SUPUESTOS'!K4+'01_SUPUESTOS'!N4</x:f>
        <x:v>2.75</x:v>
      </x:c>
      <x:c r="C2" t="n">
        <x:f>'01_SUPUESTOS'!L4+'01_SUPUESTOS'!O4</x:f>
        <x:v>1.3</x:v>
      </x:c>
      <x:c r="D2" t="n">
        <x:f>'01_SUPUESTOS'!M4+'01_SUPUESTOS'!P4</x:f>
        <x:v>0.08</x:v>
      </x:c>
      <x:c r="E2" t="n">
        <x:f>SUM(B2:D2)</x:f>
        <x:v>4.13</x:v>
      </x:c>
      <x:c r="F2" t="n">
        <x:f>B2*'01_SUPUESTOS'!R4</x:f>
        <x:v>522.5</x:v>
      </x:c>
      <x:c r="G2" t="n">
        <x:f>C2*'01_SUPUESTOS'!S4</x:f>
        <x:v>1105</x:v>
      </x:c>
      <x:c r="H2" t="n">
        <x:f>D2*'01_SUPUESTOS'!T4</x:f>
        <x:v>208</x:v>
      </x:c>
      <x:c r="I2" t="n">
        <x:f>SUM(F2:H2)</x:f>
        <x:v>1835.5</x:v>
      </x:c>
      <x:c r="J2" t="n">
        <x:f>B2*'01_SUPUESTOS'!B4+C2*'01_SUPUESTOS'!C4+D2*'01_SUPUESTOS'!D4</x:f>
        <x:v>6025</x:v>
      </x:c>
      <x:c r="K2" t="n">
        <x:f>MAX(F2-B2*'01_SUPUESTOS'!E4,0)*'01_SUPUESTOS'!H4+MAX(G2-C2*'01_SUPUESTOS'!F4,0)*'01_SUPUESTOS'!I4+MAX(H2-D2*'01_SUPUESTOS'!G4,0)*'01_SUPUESTOS'!J4</x:f>
        <x:v>1395</x:v>
      </x:c>
      <x:c r="L2" t="n">
        <x:f>J2+K2</x:f>
        <x:v>7420</x:v>
      </x:c>
      <x:c r="M2" t="n">
        <x:f>I2*'01_SUPUESTOS'!U4</x:f>
        <x:v>4.4052</x:v>
      </x:c>
      <x:c r="N2" t="n">
        <x:f>E2*'01_SUPUESTOS'!W4</x:f>
        <x:v>185.85</x:v>
      </x:c>
      <x:c r="O2" t="n">
        <x:f>M2+N2</x:f>
        <x:v>190.2552</x:v>
      </x:c>
      <x:c r="P2" t="n">
        <x:f>SUM('01_SUPUESTOS'!V4,'01_SUPUESTOS'!X4:AB4)</x:f>
        <x:v>13311.08</x:v>
      </x:c>
      <x:c r="Q2" t="n">
        <x:f>L2-O2-P2</x:f>
        <x:v>-6081.3351999999995</x:v>
      </x:c>
      <x:c r="R2" t="n">
        <x:f>SUM('01_SUPUESTOS'!AC4:AE4)</x:f>
        <x:v>42000</x:v>
      </x:c>
      <x:c r="S2" t="n">
        <x:f>Q2-R2</x:f>
        <x:v>-48081.3352</x:v>
      </x:c>
      <x:c r="T2" t="n">
        <x:f>S2</x:f>
        <x:v>-48081.3352</x:v>
      </x:c>
      <x:c r="U2" t="n">
        <x:f>S2/(1+(1+'01_SUPUESTOS'!AF4)^(1/12)-1)^A2</x:f>
        <x:v>-47422.7082199542</x:v>
      </x:c>
      <x:c r="V2" t="n">
        <x:f>IF(Q2&gt;=0,1,0)</x:f>
        <x:v>0</x:v>
      </x:c>
      <x:c r="W2" t="n">
        <x:f>IF(T2&gt;=0,1,0)</x:f>
        <x:v>0</x:v>
      </x:c>
    </x:row>
    <x:row r="3">
      <x:c r="A3" t="n">
        <x:f>2</x:f>
        <x:v>2</x:v>
      </x:c>
      <x:c r="B3" t="n">
        <x:f>B2*(1-'01_SUPUESTOS'!Q4)+'01_SUPUESTOS'!N4</x:f>
        <x:v>3.4725</x:v>
      </x:c>
      <x:c r="C3" t="n">
        <x:f>C2*(1-'01_SUPUESTOS'!Q4)+'01_SUPUESTOS'!O4</x:f>
        <x:v>1.587</x:v>
      </x:c>
      <x:c r="D3" t="n">
        <x:f>D2*(1-'01_SUPUESTOS'!Q4)+'01_SUPUESTOS'!P4</x:f>
        <x:v>0.1592</x:v>
      </x:c>
      <x:c r="E3" t="n">
        <x:f>SUM(B3:D3)</x:f>
        <x:v>5.2187</x:v>
      </x:c>
      <x:c r="F3" t="n">
        <x:f>B3*'01_SUPUESTOS'!R4</x:f>
        <x:v>659.775</x:v>
      </x:c>
      <x:c r="G3" t="n">
        <x:f>C3*'01_SUPUESTOS'!S4</x:f>
        <x:v>1348.95</x:v>
      </x:c>
      <x:c r="H3" t="n">
        <x:f>D3*'01_SUPUESTOS'!T4</x:f>
        <x:v>413.92</x:v>
      </x:c>
      <x:c r="I3" t="n">
        <x:f>SUM(F3:H3)</x:f>
        <x:v>2422.645</x:v>
      </x:c>
      <x:c r="J3" t="n">
        <x:f>B3*'01_SUPUESTOS'!B4+C3*'01_SUPUESTOS'!C4+D3*'01_SUPUESTOS'!D4</x:f>
        <x:v>7889.75</x:v>
      </x:c>
      <x:c r="K3" t="n">
        <x:f>MAX(F3-B3*'01_SUPUESTOS'!E4,0)*'01_SUPUESTOS'!H4+MAX(G3-C3*'01_SUPUESTOS'!F4,0)*'01_SUPUESTOS'!I4+MAX(H3-D3*'01_SUPUESTOS'!G4,0)*'01_SUPUESTOS'!J4</x:f>
        <x:v>1776.0499999999993</x:v>
      </x:c>
      <x:c r="L3" t="n">
        <x:f>J3+K3</x:f>
        <x:v>9665.8</x:v>
      </x:c>
      <x:c r="M3" t="n">
        <x:f>I3*'01_SUPUESTOS'!U4</x:f>
        <x:v>5.814348</x:v>
      </x:c>
      <x:c r="N3" t="n">
        <x:f>E3*'01_SUPUESTOS'!W4</x:f>
        <x:v>234.8415</x:v>
      </x:c>
      <x:c r="O3" t="n">
        <x:f>M3+N3</x:f>
        <x:v>240.655848</x:v>
      </x:c>
      <x:c r="P3" t="n">
        <x:f>SUM('01_SUPUESTOS'!V4,'01_SUPUESTOS'!X4:AB4)</x:f>
        <x:v>13311.08</x:v>
      </x:c>
      <x:c r="Q3" t="n">
        <x:f>L3-O3-P3</x:f>
        <x:v>-3885.935848000001</x:v>
      </x:c>
      <x:c r="R3" t="n">
        <x:f>0</x:f>
        <x:v>0</x:v>
      </x:c>
      <x:c r="S3" t="n">
        <x:f>Q3-R3</x:f>
        <x:v>-3885.935848000001</x:v>
      </x:c>
      <x:c r="T3" t="n">
        <x:f>T2+S3</x:f>
        <x:v>-51967.271048</x:v>
      </x:c>
      <x:c r="U3" t="n">
        <x:f>S3/(1+(1+'01_SUPUESTOS'!AF4)^(1/12)-1)^A3</x:f>
        <x:v>-3780.2044768783085</x:v>
      </x:c>
      <x:c r="V3" t="n">
        <x:f>IF(Q3&gt;=0,1,0)</x:f>
        <x:v>0</x:v>
      </x:c>
      <x:c r="W3" t="n">
        <x:f>IF(T3&gt;=0,1,0)</x:f>
        <x:v>0</x:v>
      </x:c>
    </x:row>
    <x:row r="4">
      <x:c r="A4" t="n">
        <x:f>3</x:f>
        <x:v>3</x:v>
      </x:c>
      <x:c r="B4" t="n">
        <x:f>B3*(1-'01_SUPUESTOS'!Q4)+'01_SUPUESTOS'!N4</x:f>
        <x:v>4.187775</x:v>
      </x:c>
      <x:c r="C4" t="n">
        <x:f>C3*(1-'01_SUPUESTOS'!Q4)+'01_SUPUESTOS'!O4</x:f>
        <x:v>1.87113</x:v>
      </x:c>
      <x:c r="D4" t="n">
        <x:f>D3*(1-'01_SUPUESTOS'!Q4)+'01_SUPUESTOS'!P4</x:f>
        <x:v>0.23760799999999999</x:v>
      </x:c>
      <x:c r="E4" t="n">
        <x:f>SUM(B4:D4)</x:f>
        <x:v>6.296513</x:v>
      </x:c>
      <x:c r="F4" t="n">
        <x:f>B4*'01_SUPUESTOS'!R4</x:f>
        <x:v>795.6772500000001</x:v>
      </x:c>
      <x:c r="G4" t="n">
        <x:f>C4*'01_SUPUESTOS'!S4</x:f>
        <x:v>1590.4605</x:v>
      </x:c>
      <x:c r="H4" t="n">
        <x:f>D4*'01_SUPUESTOS'!T4</x:f>
        <x:v>617.7808</x:v>
      </x:c>
      <x:c r="I4" t="n">
        <x:f>SUM(F4:H4)</x:f>
        <x:v>3003.91855</x:v>
      </x:c>
      <x:c r="J4" t="n">
        <x:f>B4*'01_SUPUESTOS'!B4+C4*'01_SUPUESTOS'!C4+D4*'01_SUPUESTOS'!D4</x:f>
        <x:v>9735.8525</x:v>
      </x:c>
      <x:c r="K4" t="n">
        <x:f>MAX(F4-B4*'01_SUPUESTOS'!E4,0)*'01_SUPUESTOS'!H4+MAX(G4-C4*'01_SUPUESTOS'!F4,0)*'01_SUPUESTOS'!I4+MAX(H4-D4*'01_SUPUESTOS'!G4,0)*'01_SUPUESTOS'!J4</x:f>
        <x:v>2153.289499999999</x:v>
      </x:c>
      <x:c r="L4" t="n">
        <x:f>J4+K4</x:f>
        <x:v>11889.142</x:v>
      </x:c>
      <x:c r="M4" t="n">
        <x:f>I4*'01_SUPUESTOS'!U4</x:f>
        <x:v>7.209404519999999</x:v>
      </x:c>
      <x:c r="N4" t="n">
        <x:f>E4*'01_SUPUESTOS'!W4</x:f>
        <x:v>283.343085</x:v>
      </x:c>
      <x:c r="O4" t="n">
        <x:f>M4+N4</x:f>
        <x:v>290.55248952</x:v>
      </x:c>
      <x:c r="P4" t="n">
        <x:f>SUM('01_SUPUESTOS'!V4,'01_SUPUESTOS'!X4:AB4)</x:f>
        <x:v>13311.08</x:v>
      </x:c>
      <x:c r="Q4" t="n">
        <x:f>L4-O4-P4</x:f>
        <x:v>-1712.4904895199998</x:v>
      </x:c>
      <x:c r="R4" t="n">
        <x:f>0</x:f>
        <x:v>0</x:v>
      </x:c>
      <x:c r="S4" t="n">
        <x:f>Q4-R4</x:f>
        <x:v>-1712.4904895199998</x:v>
      </x:c>
      <x:c r="T4" t="n">
        <x:f>T3+S4</x:f>
        <x:v>-53679.761537520004</x:v>
      </x:c>
      <x:c r="U4" t="n">
        <x:f>S4/(1+(1+'01_SUPUESTOS'!AF4)^(1/12)-1)^A4</x:f>
        <x:v>-1643.076054421831</x:v>
      </x:c>
      <x:c r="V4" t="n">
        <x:f>IF(Q4&gt;=0,1,0)</x:f>
        <x:v>0</x:v>
      </x:c>
      <x:c r="W4" t="n">
        <x:f>IF(T4&gt;=0,1,0)</x:f>
        <x:v>0</x:v>
      </x:c>
    </x:row>
    <x:row r="5">
      <x:c r="A5" t="n">
        <x:f>4</x:f>
        <x:v>4</x:v>
      </x:c>
      <x:c r="B5" t="n">
        <x:f>B4*(1-'01_SUPUESTOS'!Q4)+'01_SUPUESTOS'!N4</x:f>
        <x:v>4.89589725</x:v>
      </x:c>
      <x:c r="C5" t="n">
        <x:f>C4*(1-'01_SUPUESTOS'!Q4)+'01_SUPUESTOS'!O4</x:f>
        <x:v>2.1524186999999997</x:v>
      </x:c>
      <x:c r="D5" t="n">
        <x:f>D4*(1-'01_SUPUESTOS'!Q4)+'01_SUPUESTOS'!P4</x:f>
        <x:v>0.31523192</x:v>
      </x:c>
      <x:c r="E5" t="n">
        <x:f>SUM(B5:D5)</x:f>
        <x:v>7.36354787</x:v>
      </x:c>
      <x:c r="F5" t="n">
        <x:f>B5*'01_SUPUESTOS'!R4</x:f>
        <x:v>930.2204775</x:v>
      </x:c>
      <x:c r="G5" t="n">
        <x:f>C5*'01_SUPUESTOS'!S4</x:f>
        <x:v>1829.5558949999997</x:v>
      </x:c>
      <x:c r="H5" t="n">
        <x:f>D5*'01_SUPUESTOS'!T4</x:f>
        <x:v>819.602992</x:v>
      </x:c>
      <x:c r="I5" t="n">
        <x:f>SUM(F5:H5)</x:f>
        <x:v>3579.3793644999996</x:v>
      </x:c>
      <x:c r="J5" t="n">
        <x:f>B5*'01_SUPUESTOS'!B4+C5*'01_SUPUESTOS'!C4+D5*'01_SUPUESTOS'!D4</x:f>
        <x:v>11563.493974999998</x:v>
      </x:c>
      <x:c r="K5" t="n">
        <x:f>MAX(F5-B5*'01_SUPUESTOS'!E4,0)*'01_SUPUESTOS'!H4+MAX(G5-C5*'01_SUPUESTOS'!F4,0)*'01_SUPUESTOS'!I4+MAX(H5-D5*'01_SUPUESTOS'!G4,0)*'01_SUPUESTOS'!J4</x:f>
        <x:v>2526.7566050000014</x:v>
      </x:c>
      <x:c r="L5" t="n">
        <x:f>J5+K5</x:f>
        <x:v>14090.25058</x:v>
      </x:c>
      <x:c r="M5" t="n">
        <x:f>I5*'01_SUPUESTOS'!U4</x:f>
        <x:v>8.590510474799999</x:v>
      </x:c>
      <x:c r="N5" t="n">
        <x:f>E5*'01_SUPUESTOS'!W4</x:f>
        <x:v>331.35965415</x:v>
      </x:c>
      <x:c r="O5" t="n">
        <x:f>M5+N5</x:f>
        <x:v>339.9501646248</x:v>
      </x:c>
      <x:c r="P5" t="n">
        <x:f>SUM('01_SUPUESTOS'!V4,'01_SUPUESTOS'!X4:AB4)</x:f>
        <x:v>13311.08</x:v>
      </x:c>
      <x:c r="Q5" t="n">
        <x:f>L5-O5-P5</x:f>
        <x:v>439.2204153752009</x:v>
      </x:c>
      <x:c r="R5" t="n">
        <x:f>0</x:f>
        <x:v>0</x:v>
      </x:c>
      <x:c r="S5" t="n">
        <x:f>Q5-R5</x:f>
        <x:v>439.2204153752009</x:v>
      </x:c>
      <x:c r="T5" t="n">
        <x:f>T4+S5</x:f>
        <x:v>-53240.5411221448</x:v>
      </x:c>
      <x:c r="U5" t="n">
        <x:f>S5/(1+(1+'01_SUPUESTOS'!AF4)^(1/12)-1)^A5</x:f>
        <x:v>415.6443192422487</x:v>
      </x:c>
      <x:c r="V5" t="n">
        <x:f>IF(Q5&gt;=0,1,0)</x:f>
        <x:v>1</x:v>
      </x:c>
      <x:c r="W5" t="n">
        <x:f>IF(T5&gt;=0,1,0)</x:f>
        <x:v>0</x:v>
      </x:c>
    </x:row>
    <x:row r="6">
      <x:c r="A6" t="n">
        <x:f>5</x:f>
        <x:v>5</x:v>
      </x:c>
      <x:c r="B6" t="n">
        <x:f>B5*(1-'01_SUPUESTOS'!Q4)+'01_SUPUESTOS'!N4</x:f>
        <x:v>5.5969382775</x:v>
      </x:c>
      <x:c r="C6" t="n">
        <x:f>C5*(1-'01_SUPUESTOS'!Q4)+'01_SUPUESTOS'!O4</x:f>
        <x:v>2.4308945129999997</x:v>
      </x:c>
      <x:c r="D6" t="n">
        <x:f>D5*(1-'01_SUPUESTOS'!Q4)+'01_SUPUESTOS'!P4</x:f>
        <x:v>0.39207960080000004</x:v>
      </x:c>
      <x:c r="E6" t="n">
        <x:f>SUM(B6:D6)</x:f>
        <x:v>8.4199123913</x:v>
      </x:c>
      <x:c r="F6" t="n">
        <x:f>B6*'01_SUPUESTOS'!R4</x:f>
        <x:v>1063.418272725</x:v>
      </x:c>
      <x:c r="G6" t="n">
        <x:f>C6*'01_SUPUESTOS'!S4</x:f>
        <x:v>2066.2603360499998</x:v>
      </x:c>
      <x:c r="H6" t="n">
        <x:f>D6*'01_SUPUESTOS'!T4</x:f>
        <x:v>1019.4069620800001</x:v>
      </x:c>
      <x:c r="I6" t="n">
        <x:f>SUM(F6:H6)</x:f>
        <x:v>4149.085570855</x:v>
      </x:c>
      <x:c r="J6" t="n">
        <x:f>B6*'01_SUPUESTOS'!B4+C6*'01_SUPUESTOS'!C4+D6*'01_SUPUESTOS'!D4</x:f>
        <x:v>13372.85903525</x:v>
      </x:c>
      <x:c r="K6" t="n">
        <x:f>MAX(F6-B6*'01_SUPUESTOS'!E4,0)*'01_SUPUESTOS'!H4+MAX(G6-C6*'01_SUPUESTOS'!F4,0)*'01_SUPUESTOS'!I4+MAX(H6-D6*'01_SUPUESTOS'!G4,0)*'01_SUPUESTOS'!J4</x:f>
        <x:v>2896.4890389500006</x:v>
      </x:c>
      <x:c r="L6" t="n">
        <x:f>J6+K6</x:f>
        <x:v>16269.3480742</x:v>
      </x:c>
      <x:c r="M6" t="n">
        <x:f>I6*'01_SUPUESTOS'!U4</x:f>
        <x:v>9.957805370051998</x:v>
      </x:c>
      <x:c r="N6" t="n">
        <x:f>E6*'01_SUPUESTOS'!W4</x:f>
        <x:v>378.89605760850003</x:v>
      </x:c>
      <x:c r="O6" t="n">
        <x:f>M6+N6</x:f>
        <x:v>388.853862978552</x:v>
      </x:c>
      <x:c r="P6" t="n">
        <x:f>SUM('01_SUPUESTOS'!V4,'01_SUPUESTOS'!X4:AB4)</x:f>
        <x:v>13311.08</x:v>
      </x:c>
      <x:c r="Q6" t="n">
        <x:f>L6-O6-P6</x:f>
        <x:v>2569.4142112214467</x:v>
      </x:c>
      <x:c r="R6" t="n">
        <x:f>0</x:f>
        <x:v>0</x:v>
      </x:c>
      <x:c r="S6" t="n">
        <x:f>Q6-R6</x:f>
        <x:v>2569.4142112214467</x:v>
      </x:c>
      <x:c r="T6" t="n">
        <x:f>T5+S6</x:f>
        <x:v>-50671.126910923354</x:v>
      </x:c>
      <x:c r="U6" t="n">
        <x:f>S6/(1+(1+'01_SUPUESTOS'!AF4)^(1/12)-1)^A6</x:f>
        <x:v>2398.188330916349</x:v>
      </x:c>
      <x:c r="V6" t="n">
        <x:f>IF(Q6&gt;=0,1,0)</x:f>
        <x:v>1</x:v>
      </x:c>
      <x:c r="W6" t="n">
        <x:f>IF(T6&gt;=0,1,0)</x:f>
        <x:v>0</x:v>
      </x:c>
    </x:row>
    <x:row r="7">
      <x:c r="A7" t="n">
        <x:f>6</x:f>
        <x:v>6</x:v>
      </x:c>
      <x:c r="B7" t="n">
        <x:f>B6*(1-'01_SUPUESTOS'!Q4)+'01_SUPUESTOS'!N4</x:f>
        <x:v>6.290968894724999</x:v>
      </x:c>
      <x:c r="C7" t="n">
        <x:f>C6*(1-'01_SUPUESTOS'!Q4)+'01_SUPUESTOS'!O4</x:f>
        <x:v>2.7065855678699995</x:v>
      </x:c>
      <x:c r="D7" t="n">
        <x:f>D6*(1-'01_SUPUESTOS'!Q4)+'01_SUPUESTOS'!P4</x:f>
        <x:v>0.46815880479200006</x:v>
      </x:c>
      <x:c r="E7" t="n">
        <x:f>SUM(B7:D7)</x:f>
        <x:v>9.465713267386999</x:v>
      </x:c>
      <x:c r="F7" t="n">
        <x:f>B7*'01_SUPUESTOS'!R4</x:f>
        <x:v>1195.2840899977498</x:v>
      </x:c>
      <x:c r="G7" t="n">
        <x:f>C7*'01_SUPUESTOS'!S4</x:f>
        <x:v>2300.5977326894995</x:v>
      </x:c>
      <x:c r="H7" t="n">
        <x:f>D7*'01_SUPUESTOS'!T4</x:f>
        <x:v>1217.2128924592002</x:v>
      </x:c>
      <x:c r="I7" t="n">
        <x:f>SUM(F7:H7)</x:f>
        <x:v>4713.09471514645</x:v>
      </x:c>
      <x:c r="J7" t="n">
        <x:f>B7*'01_SUPUESTOS'!B4+C7*'01_SUPUESTOS'!C4+D7*'01_SUPUESTOS'!D4</x:f>
        <x:v>15164.130444897499</x:v>
      </x:c>
      <x:c r="K7" t="n">
        <x:f>MAX(F7-B7*'01_SUPUESTOS'!E4,0)*'01_SUPUESTOS'!H4+MAX(G7-C7*'01_SUPUESTOS'!F4,0)*'01_SUPUESTOS'!I4+MAX(H7-D7*'01_SUPUESTOS'!G4,0)*'01_SUPUESTOS'!J4</x:f>
        <x:v>3262.5241485604984</x:v>
      </x:c>
      <x:c r="L7" t="n">
        <x:f>J7+K7</x:f>
        <x:v>18426.654593458</x:v>
      </x:c>
      <x:c r="M7" t="n">
        <x:f>I7*'01_SUPUESTOS'!U4</x:f>
        <x:v>11.311427316351478</x:v>
      </x:c>
      <x:c r="N7" t="n">
        <x:f>E7*'01_SUPUESTOS'!W4</x:f>
        <x:v>425.95709703241494</x:v>
      </x:c>
      <x:c r="O7" t="n">
        <x:f>M7+N7</x:f>
        <x:v>437.2685243487664</x:v>
      </x:c>
      <x:c r="P7" t="n">
        <x:f>SUM('01_SUPUESTOS'!V4,'01_SUPUESTOS'!X4:AB4)</x:f>
        <x:v>13311.08</x:v>
      </x:c>
      <x:c r="Q7" t="n">
        <x:f>L7-O7-P7</x:f>
        <x:v>4678.306069109234</x:v>
      </x:c>
      <x:c r="R7" t="n">
        <x:f>0</x:f>
        <x:v>0</x:v>
      </x:c>
      <x:c r="S7" t="n">
        <x:f>Q7-R7</x:f>
        <x:v>4678.306069109234</x:v>
      </x:c>
      <x:c r="T7" t="n">
        <x:f>T6+S7</x:f>
        <x:v>-45992.82084181412</x:v>
      </x:c>
      <x:c r="U7" t="n">
        <x:f>S7/(1+(1+'01_SUPUESTOS'!AF4)^(1/12)-1)^A7</x:f>
        <x:v>4306.729821981644</x:v>
      </x:c>
      <x:c r="V7" t="n">
        <x:f>IF(Q7&gt;=0,1,0)</x:f>
        <x:v>1</x:v>
      </x:c>
      <x:c r="W7" t="n">
        <x:f>IF(T7&gt;=0,1,0)</x:f>
        <x:v>0</x:v>
      </x:c>
    </x:row>
    <x:row r="8">
      <x:c r="A8" t="n">
        <x:f>7</x:f>
        <x:v>7</x:v>
      </x:c>
      <x:c r="B8" t="n">
        <x:f>B7*(1-'01_SUPUESTOS'!Q4)+'01_SUPUESTOS'!N4</x:f>
        <x:v>6.9780592057777495</x:v>
      </x:c>
      <x:c r="C8" t="n">
        <x:f>C7*(1-'01_SUPUESTOS'!Q4)+'01_SUPUESTOS'!O4</x:f>
        <x:v>2.979519712191299</x:v>
      </x:c>
      <x:c r="D8" t="n">
        <x:f>D7*(1-'01_SUPUESTOS'!Q4)+'01_SUPUESTOS'!P4</x:f>
        <x:v>0.54347721674408</x:v>
      </x:c>
      <x:c r="E8" t="n">
        <x:f>SUM(B8:D8)</x:f>
        <x:v>10.501056134713128</x:v>
      </x:c>
      <x:c r="F8" t="n">
        <x:f>B8*'01_SUPUESTOS'!R4</x:f>
        <x:v>1325.8312490977723</x:v>
      </x:c>
      <x:c r="G8" t="n">
        <x:f>C8*'01_SUPUESTOS'!S4</x:f>
        <x:v>2532.591755362604</x:v>
      </x:c>
      <x:c r="H8" t="n">
        <x:f>D8*'01_SUPUESTOS'!T4</x:f>
        <x:v>1413.040763534608</x:v>
      </x:c>
      <x:c r="I8" t="n">
        <x:f>SUM(F8:H8)</x:f>
        <x:v>5271.463767994985</x:v>
      </x:c>
      <x:c r="J8" t="n">
        <x:f>B8*'01_SUPUESTOS'!B4+C8*'01_SUPUESTOS'!C4+D8*'01_SUPUESTOS'!D4</x:f>
        <x:v>16937.48914044852</x:v>
      </x:c>
      <x:c r="K8" t="n">
        <x:f>MAX(F8-B8*'01_SUPUESTOS'!E4,0)*'01_SUPUESTOS'!H4+MAX(G8-C8*'01_SUPUESTOS'!F4,0)*'01_SUPUESTOS'!I4+MAX(H8-D8*'01_SUPUESTOS'!G4,0)*'01_SUPUESTOS'!J4</x:f>
        <x:v>3624.8989070748958</x:v>
      </x:c>
      <x:c r="L8" t="n">
        <x:f>J8+K8</x:f>
        <x:v>20562.38804752342</x:v>
      </x:c>
      <x:c r="M8" t="n">
        <x:f>I8*'01_SUPUESTOS'!U4</x:f>
        <x:v>12.651513043187961</x:v>
      </x:c>
      <x:c r="N8" t="n">
        <x:f>E8*'01_SUPUESTOS'!W4</x:f>
        <x:v>472.54752606209075</x:v>
      </x:c>
      <x:c r="O8" t="n">
        <x:f>M8+N8</x:f>
        <x:v>485.1990391052787</x:v>
      </x:c>
      <x:c r="P8" t="n">
        <x:f>SUM('01_SUPUESTOS'!V4,'01_SUPUESTOS'!X4:AB4)</x:f>
        <x:v>13311.08</x:v>
      </x:c>
      <x:c r="Q8" t="n">
        <x:f>L8-O8-P8</x:f>
        <x:v>6766.10900841814</x:v>
      </x:c>
      <x:c r="R8" t="n">
        <x:f>0</x:f>
        <x:v>0</x:v>
      </x:c>
      <x:c r="S8" t="n">
        <x:f>Q8-R8</x:f>
        <x:v>6766.10900841814</x:v>
      </x:c>
      <x:c r="T8" t="n">
        <x:f>T7+S8</x:f>
        <x:v>-39226.71183339598</x:v>
      </x:c>
      <x:c r="U8" t="n">
        <x:f>S8/(1+(1+'01_SUPUESTOS'!AF4)^(1/12)-1)^A8</x:f>
        <x:v>6143.386223415648</x:v>
      </x:c>
      <x:c r="V8" t="n">
        <x:f>IF(Q8&gt;=0,1,0)</x:f>
        <x:v>1</x:v>
      </x:c>
      <x:c r="W8" t="n">
        <x:f>IF(T8&gt;=0,1,0)</x:f>
        <x:v>0</x:v>
      </x:c>
    </x:row>
    <x:row r="9">
      <x:c r="A9" t="n">
        <x:f>8</x:f>
        <x:v>8</x:v>
      </x:c>
      <x:c r="B9" t="n">
        <x:f>B8*(1-'01_SUPUESTOS'!Q4)+'01_SUPUESTOS'!N4</x:f>
        <x:v>7.658278613719972</x:v>
      </x:c>
      <x:c r="C9" t="n">
        <x:f>C8*(1-'01_SUPUESTOS'!Q4)+'01_SUPUESTOS'!O4</x:f>
        <x:v>3.249724515069386</x:v>
      </x:c>
      <x:c r="D9" t="n">
        <x:f>D8*(1-'01_SUPUESTOS'!Q4)+'01_SUPUESTOS'!P4</x:f>
        <x:v>0.6180424445766391</x:v>
      </x:c>
      <x:c r="E9" t="n">
        <x:f>SUM(B9:D9)</x:f>
        <x:v>11.526045573365996</x:v>
      </x:c>
      <x:c r="F9" t="n">
        <x:f>B9*'01_SUPUESTOS'!R4</x:f>
        <x:v>1455.0729366067947</x:v>
      </x:c>
      <x:c r="G9" t="n">
        <x:f>C9*'01_SUPUESTOS'!S4</x:f>
        <x:v>2762.265837808978</x:v>
      </x:c>
      <x:c r="H9" t="n">
        <x:f>D9*'01_SUPUESTOS'!T4</x:f>
        <x:v>1606.9103558992617</x:v>
      </x:c>
      <x:c r="I9" t="n">
        <x:f>SUM(F9:H9)</x:f>
        <x:v>5824.249130315035</x:v>
      </x:c>
      <x:c r="J9" t="n">
        <x:f>B9*'01_SUPUESTOS'!B4+C9*'01_SUPUESTOS'!C4+D9*'01_SUPUESTOS'!D4</x:f>
        <x:v>18693.114249044036</x:v>
      </x:c>
      <x:c r="K9" t="n">
        <x:f>MAX(F9-B9*'01_SUPUESTOS'!E4,0)*'01_SUPUESTOS'!H4+MAX(G9-C9*'01_SUPUESTOS'!F4,0)*'01_SUPUESTOS'!I4+MAX(H9-D9*'01_SUPUESTOS'!G4,0)*'01_SUPUESTOS'!J4</x:f>
        <x:v>3983.6499180041465</x:v>
      </x:c>
      <x:c r="L9" t="n">
        <x:f>J9+K9</x:f>
        <x:v>22676.764167048183</x:v>
      </x:c>
      <x:c r="M9" t="n">
        <x:f>I9*'01_SUPUESTOS'!U4</x:f>
        <x:v>13.978197912756082</x:v>
      </x:c>
      <x:c r="N9" t="n">
        <x:f>E9*'01_SUPUESTOS'!W4</x:f>
        <x:v>518.6720508014698</x:v>
      </x:c>
      <x:c r="O9" t="n">
        <x:f>M9+N9</x:f>
        <x:v>532.6502487142259</x:v>
      </x:c>
      <x:c r="P9" t="n">
        <x:f>SUM('01_SUPUESTOS'!V4,'01_SUPUESTOS'!X4:AB4)</x:f>
        <x:v>13311.08</x:v>
      </x:c>
      <x:c r="Q9" t="n">
        <x:f>L9-O9-P9</x:f>
        <x:v>8833.033918333958</x:v>
      </x:c>
      <x:c r="R9" t="n">
        <x:f>0</x:f>
        <x:v>0</x:v>
      </x:c>
      <x:c r="S9" t="n">
        <x:f>Q9-R9</x:f>
        <x:v>8833.033918333958</x:v>
      </x:c>
      <x:c r="T9" t="n">
        <x:f>T8+S9</x:f>
        <x:v>-30393.67791506202</x:v>
      </x:c>
      <x:c r="U9" t="n">
        <x:f>S9/(1+(1+'01_SUPUESTOS'!AF4)^(1/12)-1)^A9</x:f>
        <x:v>7910.21995601134</x:v>
      </x:c>
      <x:c r="V9" t="n">
        <x:f>IF(Q9&gt;=0,1,0)</x:f>
        <x:v>1</x:v>
      </x:c>
      <x:c r="W9" t="n">
        <x:f>IF(T9&gt;=0,1,0)</x:f>
        <x:v>0</x:v>
      </x:c>
    </x:row>
    <x:row r="10">
      <x:c r="A10" t="n">
        <x:f>9</x:f>
        <x:v>9</x:v>
      </x:c>
      <x:c r="B10" t="n">
        <x:f>B9*(1-'01_SUPUESTOS'!Q4)+'01_SUPUESTOS'!N4</x:f>
        <x:v>8.331695827582772</x:v>
      </x:c>
      <x:c r="C10" t="n">
        <x:f>C9*(1-'01_SUPUESTOS'!Q4)+'01_SUPUESTOS'!O4</x:f>
        <x:v>3.517227269918692</x:v>
      </x:c>
      <x:c r="D10" t="n">
        <x:f>D9*(1-'01_SUPUESTOS'!Q4)+'01_SUPUESTOS'!P4</x:f>
        <x:v>0.6918620201308727</x:v>
      </x:c>
      <x:c r="E10" t="n">
        <x:f>SUM(B10:D10)</x:f>
        <x:v>12.540785117632337</x:v>
      </x:c>
      <x:c r="F10" t="n">
        <x:f>B10*'01_SUPUESTOS'!R4</x:f>
        <x:v>1583.0222072407266</x:v>
      </x:c>
      <x:c r="G10" t="n">
        <x:f>C10*'01_SUPUESTOS'!S4</x:f>
        <x:v>2989.6431794308883</x:v>
      </x:c>
      <x:c r="H10" t="n">
        <x:f>D10*'01_SUPUESTOS'!T4</x:f>
        <x:v>1798.8412523402692</x:v>
      </x:c>
      <x:c r="I10" t="n">
        <x:f>SUM(F10:H10)</x:f>
        <x:v>6371.5066390118845</x:v>
      </x:c>
      <x:c r="J10" t="n">
        <x:f>B10*'01_SUPUESTOS'!B4+C10*'01_SUPUESTOS'!C4+D10*'01_SUPUESTOS'!D4</x:f>
        <x:v>20431.183106553595</x:v>
      </x:c>
      <x:c r="K10" t="n">
        <x:f>MAX(F10-B10*'01_SUPUESTOS'!E4,0)*'01_SUPUESTOS'!H4+MAX(G10-C10*'01_SUPUESTOS'!F4,0)*'01_SUPUESTOS'!I4+MAX(H10-D10*'01_SUPUESTOS'!G4,0)*'01_SUPUESTOS'!J4</x:f>
        <x:v>4338.813418824105</x:v>
      </x:c>
      <x:c r="L10" t="n">
        <x:f>J10+K10</x:f>
        <x:v>24769.9965253777</x:v>
      </x:c>
      <x:c r="M10" t="n">
        <x:f>I10*'01_SUPUESTOS'!U4</x:f>
        <x:v>15.291615933628522</x:v>
      </x:c>
      <x:c r="N10" t="n">
        <x:f>E10*'01_SUPUESTOS'!W4</x:f>
        <x:v>564.3353302934552</x:v>
      </x:c>
      <x:c r="O10" t="n">
        <x:f>M10+N10</x:f>
        <x:v>579.6269462270837</x:v>
      </x:c>
      <x:c r="P10" t="n">
        <x:f>SUM('01_SUPUESTOS'!V4,'01_SUPUESTOS'!X4:AB4)</x:f>
        <x:v>13311.08</x:v>
      </x:c>
      <x:c r="Q10" t="n">
        <x:f>L10-O10-P10</x:f>
        <x:v>10879.289579150618</x:v>
      </x:c>
      <x:c r="R10" t="n">
        <x:f>0</x:f>
        <x:v>0</x:v>
      </x:c>
      <x:c r="S10" t="n">
        <x:f>Q10-R10</x:f>
        <x:v>10879.289579150618</x:v>
      </x:c>
      <x:c r="T10" t="n">
        <x:f>T9+S10</x:f>
        <x:v>-19514.388335911404</x:v>
      </x:c>
      <x:c r="U10" t="n">
        <x:f>S10/(1+(1+'01_SUPUESTOS'!AF4)^(1/12)-1)^A10</x:f>
        <x:v>9609.239796631151</x:v>
      </x:c>
      <x:c r="V10" t="n">
        <x:f>IF(Q10&gt;=0,1,0)</x:f>
        <x:v>1</x:v>
      </x:c>
      <x:c r="W10" t="n">
        <x:f>IF(T10&gt;=0,1,0)</x:f>
        <x:v>0</x:v>
      </x:c>
    </x:row>
    <x:row r="11">
      <x:c r="A11" t="n">
        <x:f>10</x:f>
        <x:v>10</x:v>
      </x:c>
      <x:c r="B11" t="n">
        <x:f>B10*(1-'01_SUPUESTOS'!Q4)+'01_SUPUESTOS'!N4</x:f>
        <x:v>8.998378869306944</x:v>
      </x:c>
      <x:c r="C11" t="n">
        <x:f>C10*(1-'01_SUPUESTOS'!Q4)+'01_SUPUESTOS'!O4</x:f>
        <x:v>3.7820549972195048</x:v>
      </x:c>
      <x:c r="D11" t="n">
        <x:f>D10*(1-'01_SUPUESTOS'!Q4)+'01_SUPUESTOS'!P4</x:f>
        <x:v>0.764943399929564</x:v>
      </x:c>
      <x:c r="E11" t="n">
        <x:f>SUM(B11:D11)</x:f>
        <x:v>13.545377266456011</x:v>
      </x:c>
      <x:c r="F11" t="n">
        <x:f>B11*'01_SUPUESTOS'!R4</x:f>
        <x:v>1709.6919851683192</x:v>
      </x:c>
      <x:c r="G11" t="n">
        <x:f>C11*'01_SUPUESTOS'!S4</x:f>
        <x:v>3214.746747636579</x:v>
      </x:c>
      <x:c r="H11" t="n">
        <x:f>D11*'01_SUPUESTOS'!T4</x:f>
        <x:v>1988.8528398168662</x:v>
      </x:c>
      <x:c r="I11" t="n">
        <x:f>SUM(F11:H11)</x:f>
        <x:v>6913.291572621764</x:v>
      </x:c>
      <x:c r="J11" t="n">
        <x:f>B11*'01_SUPUESTOS'!B4+C11*'01_SUPUESTOS'!C4+D11*'01_SUPUESTOS'!D4</x:f>
        <x:v>22151.87127548806</x:v>
      </x:c>
      <x:c r="K11" t="n">
        <x:f>MAX(F11-B11*'01_SUPUESTOS'!E4,0)*'01_SUPUESTOS'!H4+MAX(G11-C11*'01_SUPUESTOS'!F4,0)*'01_SUPUESTOS'!I4+MAX(H11-D11*'01_SUPUESTOS'!G4,0)*'01_SUPUESTOS'!J4</x:f>
        <x:v>4690.425284635862</x:v>
      </x:c>
      <x:c r="L11" t="n">
        <x:f>J11+K11</x:f>
        <x:v>26842.296560123923</x:v>
      </x:c>
      <x:c r="M11" t="n">
        <x:f>I11*'01_SUPUESTOS'!U4</x:f>
        <x:v>16.591899774292234</x:v>
      </x:c>
      <x:c r="N11" t="n">
        <x:f>E11*'01_SUPUESTOS'!W4</x:f>
        <x:v>609.5419769905205</x:v>
      </x:c>
      <x:c r="O11" t="n">
        <x:f>M11+N11</x:f>
        <x:v>626.1338767648127</x:v>
      </x:c>
      <x:c r="P11" t="n">
        <x:f>SUM('01_SUPUESTOS'!V4,'01_SUPUESTOS'!X4:AB4)</x:f>
        <x:v>13311.08</x:v>
      </x:c>
      <x:c r="Q11" t="n">
        <x:f>L11-O11-P11</x:f>
        <x:v>12905.08268335911</x:v>
      </x:c>
      <x:c r="R11" t="n">
        <x:f>0</x:f>
        <x:v>0</x:v>
      </x:c>
      <x:c r="S11" t="n">
        <x:f>Q11-R11</x:f>
        <x:v>12905.08268335911</x:v>
      </x:c>
      <x:c r="T11" t="n">
        <x:f>T10+S11</x:f>
        <x:v>-6609.305652552293</x:v>
      </x:c>
      <x:c r="U11" t="n">
        <x:f>S11/(1+(1+'01_SUPUESTOS'!AF4)^(1/12)-1)^A11</x:f>
        <x:v>11242.402211309485</x:v>
      </x:c>
      <x:c r="V11" t="n">
        <x:f>IF(Q11&gt;=0,1,0)</x:f>
        <x:v>1</x:v>
      </x:c>
      <x:c r="W11" t="n">
        <x:f>IF(T11&gt;=0,1,0)</x:f>
        <x:v>0</x:v>
      </x:c>
    </x:row>
    <x:row r="12">
      <x:c r="A12" t="n">
        <x:f>11</x:f>
        <x:v>11</x:v>
      </x:c>
      <x:c r="B12" t="n">
        <x:f>B11*(1-'01_SUPUESTOS'!Q4)+'01_SUPUESTOS'!N4</x:f>
        <x:v>9.658395080613873</x:v>
      </x:c>
      <x:c r="C12" t="n">
        <x:f>C11*(1-'01_SUPUESTOS'!Q4)+'01_SUPUESTOS'!O4</x:f>
        <x:v>4.04423444724731</x:v>
      </x:c>
      <x:c r="D12" t="n">
        <x:f>D11*(1-'01_SUPUESTOS'!Q4)+'01_SUPUESTOS'!P4</x:f>
        <x:v>0.8372939659302683</x:v>
      </x:c>
      <x:c r="E12" t="n">
        <x:f>SUM(B12:D12)</x:f>
        <x:v>14.539923493791452</x:v>
      </x:c>
      <x:c r="F12" t="n">
        <x:f>B12*'01_SUPUESTOS'!R4</x:f>
        <x:v>1835.095065316636</x:v>
      </x:c>
      <x:c r="G12" t="n">
        <x:f>C12*'01_SUPUESTOS'!S4</x:f>
        <x:v>3437.5992801602133</x:v>
      </x:c>
      <x:c r="H12" t="n">
        <x:f>D12*'01_SUPUESTOS'!T4</x:f>
        <x:v>2176.9643114186974</x:v>
      </x:c>
      <x:c r="I12" t="n">
        <x:f>SUM(F12:H12)</x:f>
        <x:v>7449.658656895547</x:v>
      </x:c>
      <x:c r="J12" t="n">
        <x:f>B12*'01_SUPUESTOS'!B4+C12*'01_SUPUESTOS'!C4+D12*'01_SUPUESTOS'!D4</x:f>
        <x:v>23855.352562733176</x:v>
      </x:c>
      <x:c r="K12" t="n">
        <x:f>MAX(F12-B12*'01_SUPUESTOS'!E4,0)*'01_SUPUESTOS'!H4+MAX(G12-C12*'01_SUPUESTOS'!F4,0)*'01_SUPUESTOS'!I4+MAX(H12-D12*'01_SUPUESTOS'!G4,0)*'01_SUPUESTOS'!J4</x:f>
        <x:v>5038.521031789503</x:v>
      </x:c>
      <x:c r="L12" t="n">
        <x:f>J12+K12</x:f>
        <x:v>28893.87359452268</x:v>
      </x:c>
      <x:c r="M12" t="n">
        <x:f>I12*'01_SUPUESTOS'!U4</x:f>
        <x:v>17.879180776549312</x:v>
      </x:c>
      <x:c r="N12" t="n">
        <x:f>E12*'01_SUPUESTOS'!W4</x:f>
        <x:v>654.2965572206153</x:v>
      </x:c>
      <x:c r="O12" t="n">
        <x:f>M12+N12</x:f>
        <x:v>672.1757379971647</x:v>
      </x:c>
      <x:c r="P12" t="n">
        <x:f>SUM('01_SUPUESTOS'!V4,'01_SUPUESTOS'!X4:AB4)</x:f>
        <x:v>13311.08</x:v>
      </x:c>
      <x:c r="Q12" t="n">
        <x:f>L12-O12-P12</x:f>
        <x:v>14910.617856525516</x:v>
      </x:c>
      <x:c r="R12" t="n">
        <x:f>0</x:f>
        <x:v>0</x:v>
      </x:c>
      <x:c r="S12" t="n">
        <x:f>Q12-R12</x:f>
        <x:v>14910.617856525516</x:v>
      </x:c>
      <x:c r="T12" t="n">
        <x:f>T11+S12</x:f>
        <x:v>8301.312203973222</x:v>
      </x:c>
      <x:c r="U12" t="n">
        <x:f>S12/(1+(1+'01_SUPUESTOS'!AF4)^(1/12)-1)^A12</x:f>
        <x:v>12811.612655998008</x:v>
      </x:c>
      <x:c r="V12" t="n">
        <x:f>IF(Q12&gt;=0,1,0)</x:f>
        <x:v>1</x:v>
      </x:c>
      <x:c r="W12" t="n">
        <x:f>IF(T12&gt;=0,1,0)</x:f>
        <x:v>1</x:v>
      </x:c>
    </x:row>
    <x:row r="13">
      <x:c r="A13" t="n">
        <x:f>12</x:f>
        <x:v>12</x:v>
      </x:c>
      <x:c r="B13" t="n">
        <x:f>B12*(1-'01_SUPUESTOS'!Q4)+'01_SUPUESTOS'!N4</x:f>
        <x:v>10.311811129807735</x:v>
      </x:c>
      <x:c r="C13" t="n">
        <x:f>C12*(1-'01_SUPUESTOS'!Q4)+'01_SUPUESTOS'!O4</x:f>
        <x:v>4.303792102774836</x:v>
      </x:c>
      <x:c r="D13" t="n">
        <x:f>D12*(1-'01_SUPUESTOS'!Q4)+'01_SUPUESTOS'!P4</x:f>
        <x:v>0.9089210262709656</x:v>
      </x:c>
      <x:c r="E13" t="n">
        <x:f>SUM(B13:D13)</x:f>
        <x:v>15.524524258853537</x:v>
      </x:c>
      <x:c r="F13" t="n">
        <x:f>B13*'01_SUPUESTOS'!R4</x:f>
        <x:v>1959.2441146634696</x:v>
      </x:c>
      <x:c r="G13" t="n">
        <x:f>C13*'01_SUPUESTOS'!S4</x:f>
        <x:v>3658.223287358611</x:v>
      </x:c>
      <x:c r="H13" t="n">
        <x:f>D13*'01_SUPUESTOS'!T4</x:f>
        <x:v>2363.1946683045107</x:v>
      </x:c>
      <x:c r="I13" t="n">
        <x:f>SUM(F13:H13)</x:f>
        <x:v>7980.662070326592</x:v>
      </x:c>
      <x:c r="J13" t="n">
        <x:f>B13*'01_SUPUESTOS'!B4+C13*'01_SUPUESTOS'!C4+D13*'01_SUPUESTOS'!D4</x:f>
        <x:v>25541.79903710584</x:v>
      </x:c>
      <x:c r="K13" t="n">
        <x:f>MAX(F13-B13*'01_SUPUESTOS'!E4,0)*'01_SUPUESTOS'!H4+MAX(G13-C13*'01_SUPUESTOS'!F4,0)*'01_SUPUESTOS'!I4+MAX(H13-D13*'01_SUPUESTOS'!G4,0)*'01_SUPUESTOS'!J4</x:f>
        <x:v>5383.135821471609</x:v>
      </x:c>
      <x:c r="L13" t="n">
        <x:f>J13+K13</x:f>
        <x:v>30924.93485857745</x:v>
      </x:c>
      <x:c r="M13" t="n">
        <x:f>I13*'01_SUPUESTOS'!U4</x:f>
        <x:v>19.15358896878382</x:v>
      </x:c>
      <x:c r="N13" t="n">
        <x:f>E13*'01_SUPUESTOS'!W4</x:f>
        <x:v>698.6035916484092</x:v>
      </x:c>
      <x:c r="O13" t="n">
        <x:f>M13+N13</x:f>
        <x:v>717.757180617193</x:v>
      </x:c>
      <x:c r="P13" t="n">
        <x:f>SUM('01_SUPUESTOS'!V4,'01_SUPUESTOS'!X4:AB4)</x:f>
        <x:v>13311.08</x:v>
      </x:c>
      <x:c r="Q13" t="n">
        <x:f>L13-O13-P13</x:f>
        <x:v>16896.097677960257</x:v>
      </x:c>
      <x:c r="R13" t="n">
        <x:f>0</x:f>
        <x:v>0</x:v>
      </x:c>
      <x:c r="S13" t="n">
        <x:f>Q13-R13</x:f>
        <x:v>16896.097677960257</x:v>
      </x:c>
      <x:c r="T13" t="n">
        <x:f>T12+S13</x:f>
        <x:v>25197.40988193348</x:v>
      </x:c>
      <x:c r="U13" t="n">
        <x:f>S13/(1+(1+'01_SUPUESTOS'!AF4)^(1/12)-1)^A13</x:f>
        <x:v>14318.72684572905</x:v>
      </x:c>
      <x:c r="V13" t="n">
        <x:f>IF(Q13&gt;=0,1,0)</x:f>
        <x:v>1</x:v>
      </x:c>
      <x:c r="W13" t="n">
        <x:f>IF(T13&gt;=0,1,0)</x:f>
        <x:v>1</x:v>
      </x:c>
    </x:row>
    <x:row r="14">
      <x:c r="A14" t="n">
        <x:f>13</x:f>
        <x:v>13</x:v>
      </x:c>
      <x:c r="B14" t="n">
        <x:f>B13*(1-'01_SUPUESTOS'!Q4)+'01_SUPUESTOS'!N4</x:f>
        <x:v>10.958693018509658</x:v>
      </x:c>
      <x:c r="C14" t="n">
        <x:f>C13*(1-'01_SUPUESTOS'!Q4)+'01_SUPUESTOS'!O4</x:f>
        <x:v>4.560754181747088</x:v>
      </x:c>
      <x:c r="D14" t="n">
        <x:f>D13*(1-'01_SUPUESTOS'!Q4)+'01_SUPUESTOS'!P4</x:f>
        <x:v>0.9798318160082559</x:v>
      </x:c>
      <x:c r="E14" t="n">
        <x:f>SUM(B14:D14)</x:f>
        <x:v>16.499279016265003</x:v>
      </x:c>
      <x:c r="F14" t="n">
        <x:f>B14*'01_SUPUESTOS'!R4</x:f>
        <x:v>2082.151673516835</x:v>
      </x:c>
      <x:c r="G14" t="n">
        <x:f>C14*'01_SUPUESTOS'!S4</x:f>
        <x:v>3876.6410544850246</x:v>
      </x:c>
      <x:c r="H14" t="n">
        <x:f>D14*'01_SUPUESTOS'!T4</x:f>
        <x:v>2547.5627216214652</x:v>
      </x:c>
      <x:c r="I14" t="n">
        <x:f>SUM(F14:H14)</x:f>
        <x:v>8506.355449623325</x:v>
      </x:c>
      <x:c r="J14" t="n">
        <x:f>B14*'01_SUPUESTOS'!B4+C14*'01_SUPUESTOS'!C4+D14*'01_SUPUESTOS'!D4</x:f>
        <x:v>27211.381046734783</x:v>
      </x:c>
      <x:c r="K14" t="n">
        <x:f>MAX(F14-B14*'01_SUPUESTOS'!E4,0)*'01_SUPUESTOS'!H4+MAX(G14-C14*'01_SUPUESTOS'!F4,0)*'01_SUPUESTOS'!I4+MAX(H14-D14*'01_SUPUESTOS'!G4,0)*'01_SUPUESTOS'!J4</x:f>
        <x:v>5724.304463256894</x:v>
      </x:c>
      <x:c r="L14" t="n">
        <x:f>J14+K14</x:f>
        <x:v>32935.68550999168</x:v>
      </x:c>
      <x:c r="M14" t="n">
        <x:f>I14*'01_SUPUESTOS'!U4</x:f>
        <x:v>20.415253079095976</x:v>
      </x:c>
      <x:c r="N14" t="n">
        <x:f>E14*'01_SUPUESTOS'!W4</x:f>
        <x:v>742.4675557319251</x:v>
      </x:c>
      <x:c r="O14" t="n">
        <x:f>M14+N14</x:f>
        <x:v>762.882808811021</x:v>
      </x:c>
      <x:c r="P14" t="n">
        <x:f>SUM('01_SUPUESTOS'!V4,'01_SUPUESTOS'!X4:AB4)</x:f>
        <x:v>13311.08</x:v>
      </x:c>
      <x:c r="Q14" t="n">
        <x:f>L14-O14-P14</x:f>
        <x:v>18861.72270118066</x:v>
      </x:c>
      <x:c r="R14" t="n">
        <x:f>0</x:f>
        <x:v>0</x:v>
      </x:c>
      <x:c r="S14" t="n">
        <x:f>Q14-R14</x:f>
        <x:v>18861.72270118066</x:v>
      </x:c>
      <x:c r="T14" t="n">
        <x:f>T13+S14</x:f>
        <x:v>44059.132583114144</x:v>
      </x:c>
      <x:c r="U14" t="n">
        <x:f>S14/(1+(1+'01_SUPUESTOS'!AF4)^(1/12)-1)^A14</x:f>
        <x:v>15765.551992954068</x:v>
      </x:c>
      <x:c r="V14" t="n">
        <x:f>IF(Q14&gt;=0,1,0)</x:f>
        <x:v>1</x:v>
      </x:c>
      <x:c r="W14" t="n">
        <x:f>IF(T14&gt;=0,1,0)</x:f>
        <x:v>1</x:v>
      </x:c>
    </x:row>
    <x:row r="15">
      <x:c r="A15" t="n">
        <x:f>14</x:f>
        <x:v>14</x:v>
      </x:c>
      <x:c r="B15" t="n">
        <x:f>B14*(1-'01_SUPUESTOS'!Q4)+'01_SUPUESTOS'!N4</x:f>
        <x:v>11.599106088324561</x:v>
      </x:c>
      <x:c r="C15" t="n">
        <x:f>C14*(1-'01_SUPUESTOS'!Q4)+'01_SUPUESTOS'!O4</x:f>
        <x:v>4.815146639929616</x:v>
      </x:c>
      <x:c r="D15" t="n">
        <x:f>D14*(1-'01_SUPUESTOS'!Q4)+'01_SUPUESTOS'!P4</x:f>
        <x:v>1.0500334978481733</x:v>
      </x:c>
      <x:c r="E15" t="n">
        <x:f>SUM(B15:D15)</x:f>
        <x:v>17.46428622610235</x:v>
      </x:c>
      <x:c r="F15" t="n">
        <x:f>B15*'01_SUPUESTOS'!R4</x:f>
        <x:v>2203.8301567816666</x:v>
      </x:c>
      <x:c r="G15" t="n">
        <x:f>C15*'01_SUPUESTOS'!S4</x:f>
        <x:v>4092.874643940174</x:v>
      </x:c>
      <x:c r="H15" t="n">
        <x:f>D15*'01_SUPUESTOS'!T4</x:f>
        <x:v>2730.087094405251</x:v>
      </x:c>
      <x:c r="I15" t="n">
        <x:f>SUM(F15:H15)</x:f>
        <x:v>9026.791895127091</x:v>
      </x:c>
      <x:c r="J15" t="n">
        <x:f>B15*'01_SUPUESTOS'!B4+C15*'01_SUPUESTOS'!C4+D15*'01_SUPUESTOS'!D4</x:f>
        <x:v>28864.267236267435</x:v>
      </x:c>
      <x:c r="K15" t="n">
        <x:f>MAX(F15-B15*'01_SUPUESTOS'!E4,0)*'01_SUPUESTOS'!H4+MAX(G15-C15*'01_SUPUESTOS'!F4,0)*'01_SUPUESTOS'!I4+MAX(H15-D15*'01_SUPUESTOS'!G4,0)*'01_SUPUESTOS'!J4</x:f>
        <x:v>6062.061418624324</x:v>
      </x:c>
      <x:c r="L15" t="n">
        <x:f>J15+K15</x:f>
        <x:v>34926.32865489176</x:v>
      </x:c>
      <x:c r="M15" t="n">
        <x:f>I15*'01_SUPUESTOS'!U4</x:f>
        <x:v>21.664300548305018</x:v>
      </x:c>
      <x:c r="N15" t="n">
        <x:f>E15*'01_SUPUESTOS'!W4</x:f>
        <x:v>785.8928801746057</x:v>
      </x:c>
      <x:c r="O15" t="n">
        <x:f>M15+N15</x:f>
        <x:v>807.5571807229107</x:v>
      </x:c>
      <x:c r="P15" t="n">
        <x:f>SUM('01_SUPUESTOS'!V4,'01_SUPUESTOS'!X4:AB4)</x:f>
        <x:v>13311.08</x:v>
      </x:c>
      <x:c r="Q15" t="n">
        <x:f>L15-O15-P15</x:f>
        <x:v>20807.691474168845</x:v>
      </x:c>
      <x:c r="R15" t="n">
        <x:f>0</x:f>
        <x:v>0</x:v>
      </x:c>
      <x:c r="S15" t="n">
        <x:f>Q15-R15</x:f>
        <x:v>20807.691474168845</x:v>
      </x:c>
      <x:c r="T15" t="n">
        <x:f>T14+S15</x:f>
        <x:v>64866.82405728299</x:v>
      </x:c>
      <x:c r="U15" t="n">
        <x:f>S15/(1+(1+'01_SUPUESTOS'!AF4)^(1/12)-1)^A15</x:f>
        <x:v>17153.848015795968</x:v>
      </x:c>
      <x:c r="V15" t="n">
        <x:f>IF(Q15&gt;=0,1,0)</x:f>
        <x:v>1</x:v>
      </x:c>
      <x:c r="W15" t="n">
        <x:f>IF(T15&gt;=0,1,0)</x:f>
        <x:v>1</x:v>
      </x:c>
    </x:row>
    <x:row r="16">
      <x:c r="A16" t="n">
        <x:f>15</x:f>
        <x:v>15</x:v>
      </x:c>
      <x:c r="B16" t="n">
        <x:f>B15*(1-'01_SUPUESTOS'!Q4)+'01_SUPUESTOS'!N4</x:f>
        <x:v>12.233115027441315</x:v>
      </x:c>
      <x:c r="C16" t="n">
        <x:f>C15*(1-'01_SUPUESTOS'!Q4)+'01_SUPUESTOS'!O4</x:f>
        <x:v>5.06699517353032</x:v>
      </x:c>
      <x:c r="D16" t="n">
        <x:f>D15*(1-'01_SUPUESTOS'!Q4)+'01_SUPUESTOS'!P4</x:f>
        <x:v>1.1195331628696916</x:v>
      </x:c>
      <x:c r="E16" t="n">
        <x:f>SUM(B16:D16)</x:f>
        <x:v>18.419643363841324</x:v>
      </x:c>
      <x:c r="F16" t="n">
        <x:f>B16*'01_SUPUESTOS'!R4</x:f>
        <x:v>2324.29185521385</x:v>
      </x:c>
      <x:c r="G16" t="n">
        <x:f>C16*'01_SUPUESTOS'!S4</x:f>
        <x:v>4306.945897500772</x:v>
      </x:c>
      <x:c r="H16" t="n">
        <x:f>D16*'01_SUPUESTOS'!T4</x:f>
        <x:v>2910.786223461198</x:v>
      </x:c>
      <x:c r="I16" t="n">
        <x:f>SUM(F16:H16)</x:f>
        <x:v>9542.02397617582</x:v>
      </x:c>
      <x:c r="J16" t="n">
        <x:f>B16*'01_SUPUESTOS'!B4+C16*'01_SUPUESTOS'!C4+D16*'01_SUPUESTOS'!D4</x:f>
        <x:v>30500.624563904763</x:v>
      </x:c>
      <x:c r="K16" t="n">
        <x:f>MAX(F16-B16*'01_SUPUESTOS'!E4,0)*'01_SUPUESTOS'!H4+MAX(G16-C16*'01_SUPUESTOS'!F4,0)*'01_SUPUESTOS'!I4+MAX(H16-D16*'01_SUPUESTOS'!G4,0)*'01_SUPUESTOS'!J4</x:f>
        <x:v>6396.440804438076</x:v>
      </x:c>
      <x:c r="L16" t="n">
        <x:f>J16+K16</x:f>
        <x:v>36897.06536834284</x:v>
      </x:c>
      <x:c r="M16" t="n">
        <x:f>I16*'01_SUPUESTOS'!U4</x:f>
        <x:v>22.900857542821967</x:v>
      </x:c>
      <x:c r="N16" t="n">
        <x:f>E16*'01_SUPUESTOS'!W4</x:f>
        <x:v>828.8839513728595</x:v>
      </x:c>
      <x:c r="O16" t="n">
        <x:f>M16+N16</x:f>
        <x:v>851.7848089156815</x:v>
      </x:c>
      <x:c r="P16" t="n">
        <x:f>SUM('01_SUPUESTOS'!V4,'01_SUPUESTOS'!X4:AB4)</x:f>
        <x:v>13311.08</x:v>
      </x:c>
      <x:c r="Q16" t="n">
        <x:f>L16-O16-P16</x:f>
        <x:v>22734.200559427154</x:v>
      </x:c>
      <x:c r="R16" t="n">
        <x:f>0</x:f>
        <x:v>0</x:v>
      </x:c>
      <x:c r="S16" t="n">
        <x:f>Q16-R16</x:f>
        <x:v>22734.200559427154</x:v>
      </x:c>
      <x:c r="T16" t="n">
        <x:f>T15+S16</x:f>
        <x:v>87601.02461671014</x:v>
      </x:c>
      <x:c r="U16" t="n">
        <x:f>S16/(1+(1+'01_SUPUESTOS'!AF4)^(1/12)-1)^A16</x:f>
        <x:v>18485.328716936823</x:v>
      </x:c>
      <x:c r="V16" t="n">
        <x:f>IF(Q16&gt;=0,1,0)</x:f>
        <x:v>1</x:v>
      </x:c>
      <x:c r="W16" t="n">
        <x:f>IF(T16&gt;=0,1,0)</x:f>
        <x:v>1</x:v>
      </x:c>
    </x:row>
    <x:row r="17">
      <x:c r="A17" t="n">
        <x:f>16</x:f>
        <x:v>16</x:v>
      </x:c>
      <x:c r="B17" t="n">
        <x:f>B16*(1-'01_SUPUESTOS'!Q4)+'01_SUPUESTOS'!N4</x:f>
        <x:v>12.860783877166902</x:v>
      </x:c>
      <x:c r="C17" t="n">
        <x:f>C16*(1-'01_SUPUESTOS'!Q4)+'01_SUPUESTOS'!O4</x:f>
        <x:v>5.316325221795017</x:v>
      </x:c>
      <x:c r="D17" t="n">
        <x:f>D16*(1-'01_SUPUESTOS'!Q4)+'01_SUPUESTOS'!P4</x:f>
        <x:v>1.1883378312409947</x:v>
      </x:c>
      <x:c r="E17" t="n">
        <x:f>SUM(B17:D17)</x:f>
        <x:v>19.365446930202914</x:v>
      </x:c>
      <x:c r="F17" t="n">
        <x:f>B17*'01_SUPUESTOS'!R4</x:f>
        <x:v>2443.5489366617117</x:v>
      </x:c>
      <x:c r="G17" t="n">
        <x:f>C17*'01_SUPUESTOS'!S4</x:f>
        <x:v>4518.876438525765</x:v>
      </x:c>
      <x:c r="H17" t="n">
        <x:f>D17*'01_SUPUESTOS'!T4</x:f>
        <x:v>3089.6783612265863</x:v>
      </x:c>
      <x:c r="I17" t="n">
        <x:f>SUM(F17:H17)</x:f>
        <x:v>10052.103736414063</x:v>
      </x:c>
      <x:c r="J17" t="n">
        <x:f>B17*'01_SUPUESTOS'!B4+C17*'01_SUPUESTOS'!C4+D17*'01_SUPUESTOS'!D4</x:f>
        <x:v>32120.61831826571</x:v>
      </x:c>
      <x:c r="K17" t="n">
        <x:f>MAX(F17-B17*'01_SUPUESTOS'!E4,0)*'01_SUPUESTOS'!H4+MAX(G17-C17*'01_SUPUESTOS'!F4,0)*'01_SUPUESTOS'!I4+MAX(H17-D17*'01_SUPUESTOS'!G4,0)*'01_SUPUESTOS'!J4</x:f>
        <x:v>6727.476396393702</x:v>
      </x:c>
      <x:c r="L17" t="n">
        <x:f>J17+K17</x:f>
        <x:v>38848.09471465941</x:v>
      </x:c>
      <x:c r="M17" t="n">
        <x:f>I17*'01_SUPUESTOS'!U4</x:f>
        <x:v>24.12504896739375</x:v>
      </x:c>
      <x:c r="N17" t="n">
        <x:f>E17*'01_SUPUESTOS'!W4</x:f>
        <x:v>871.4451118591311</x:v>
      </x:c>
      <x:c r="O17" t="n">
        <x:f>M17+N17</x:f>
        <x:v>895.5701608265248</x:v>
      </x:c>
      <x:c r="P17" t="n">
        <x:f>SUM('01_SUPUESTOS'!V4,'01_SUPUESTOS'!X4:AB4)</x:f>
        <x:v>13311.08</x:v>
      </x:c>
      <x:c r="Q17" t="n">
        <x:f>L17-O17-P17</x:f>
        <x:v>24641.444553832887</x:v>
      </x:c>
      <x:c r="R17" t="n">
        <x:f>0</x:f>
        <x:v>0</x:v>
      </x:c>
      <x:c r="S17" t="n">
        <x:f>Q17-R17</x:f>
        <x:v>24641.444553832887</x:v>
      </x:c>
      <x:c r="T17" t="n">
        <x:f>T16+S17</x:f>
        <x:v>112242.46917054303</x:v>
      </x:c>
      <x:c r="U17" t="n">
        <x:f>S17/(1+(1+'01_SUPUESTOS'!AF4)^(1/12)-1)^A17</x:f>
        <x:v>19761.66293384486</x:v>
      </x:c>
      <x:c r="V17" t="n">
        <x:f>IF(Q17&gt;=0,1,0)</x:f>
        <x:v>1</x:v>
      </x:c>
      <x:c r="W17" t="n">
        <x:f>IF(T17&gt;=0,1,0)</x:f>
        <x:v>1</x:v>
      </x:c>
    </x:row>
    <x:row r="18">
      <x:c r="A18" t="n">
        <x:f>17</x:f>
        <x:v>17</x:v>
      </x:c>
      <x:c r="B18" t="n">
        <x:f>B17*(1-'01_SUPUESTOS'!Q4)+'01_SUPUESTOS'!N4</x:f>
        <x:v>13.482176038395233</x:v>
      </x:c>
      <x:c r="C18" t="n">
        <x:f>C17*(1-'01_SUPUESTOS'!Q4)+'01_SUPUESTOS'!O4</x:f>
        <x:v>5.563161969577067</x:v>
      </x:c>
      <x:c r="D18" t="n">
        <x:f>D17*(1-'01_SUPUESTOS'!Q4)+'01_SUPUESTOS'!P4</x:f>
        <x:v>1.2564544529285848</x:v>
      </x:c>
      <x:c r="E18" t="n">
        <x:f>SUM(B18:D18)</x:f>
        <x:v>20.30179246090088</x:v>
      </x:c>
      <x:c r="F18" t="n">
        <x:f>B18*'01_SUPUESTOS'!R4</x:f>
        <x:v>2561.6134472950944</x:v>
      </x:c>
      <x:c r="G18" t="n">
        <x:f>C18*'01_SUPUESTOS'!S4</x:f>
        <x:v>4728.687674140507</x:v>
      </x:c>
      <x:c r="H18" t="n">
        <x:f>D18*'01_SUPUESTOS'!T4</x:f>
        <x:v>3266.7815776143207</x:v>
      </x:c>
      <x:c r="I18" t="n">
        <x:f>SUM(F18:H18)</x:f>
        <x:v>10557.082699049923</x:v>
      </x:c>
      <x:c r="J18" t="n">
        <x:f>B18*'01_SUPUESTOS'!B4+C18*'01_SUPUESTOS'!C4+D18*'01_SUPUESTOS'!D4</x:f>
        <x:v>33724.412135083054</x:v>
      </x:c>
      <x:c r="K18" t="n">
        <x:f>MAX(F18-B18*'01_SUPUESTOS'!E4,0)*'01_SUPUESTOS'!H4+MAX(G18-C18*'01_SUPUESTOS'!F4,0)*'01_SUPUESTOS'!I4+MAX(H18-D18*'01_SUPUESTOS'!G4,0)*'01_SUPUESTOS'!J4</x:f>
        <x:v>7055.201632429766</x:v>
      </x:c>
      <x:c r="L18" t="n">
        <x:f>J18+K18</x:f>
        <x:v>40779.61376751282</x:v>
      </x:c>
      <x:c r="M18" t="n">
        <x:f>I18*'01_SUPUESTOS'!U4</x:f>
        <x:v>25.336998477719813</x:v>
      </x:c>
      <x:c r="N18" t="n">
        <x:f>E18*'01_SUPUESTOS'!W4</x:f>
        <x:v>913.5806607405397</x:v>
      </x:c>
      <x:c r="O18" t="n">
        <x:f>M18+N18</x:f>
        <x:v>938.9176592182595</x:v>
      </x:c>
      <x:c r="P18" t="n">
        <x:f>SUM('01_SUPUESTOS'!V4,'01_SUPUESTOS'!X4:AB4)</x:f>
        <x:v>13311.08</x:v>
      </x:c>
      <x:c r="Q18" t="n">
        <x:f>L18-O18-P18</x:f>
        <x:v>26529.616108294555</x:v>
      </x:c>
      <x:c r="R18" t="n">
        <x:f>0</x:f>
        <x:v>0</x:v>
      </x:c>
      <x:c r="S18" t="n">
        <x:f>Q18-R18</x:f>
        <x:v>26529.616108294555</x:v>
      </x:c>
      <x:c r="T18" t="n">
        <x:f>T17+S18</x:f>
        <x:v>138772.0852788376</x:v>
      </x:c>
      <x:c r="U18" t="n">
        <x:f>S18/(1+(1+'01_SUPUESTOS'!AF4)^(1/12)-1)^A18</x:f>
        <x:v>20984.475661028304</x:v>
      </x:c>
      <x:c r="V18" t="n">
        <x:f>IF(Q18&gt;=0,1,0)</x:f>
        <x:v>1</x:v>
      </x:c>
      <x:c r="W18" t="n">
        <x:f>IF(T18&gt;=0,1,0)</x:f>
        <x:v>1</x:v>
      </x:c>
    </x:row>
    <x:row r="19">
      <x:c r="A19" t="n">
        <x:f>18</x:f>
        <x:v>18</x:v>
      </x:c>
      <x:c r="B19" t="n">
        <x:f>B18*(1-'01_SUPUESTOS'!Q4)+'01_SUPUESTOS'!N4</x:f>
        <x:v>14.09735427801128</x:v>
      </x:c>
      <x:c r="C19" t="n">
        <x:f>C18*(1-'01_SUPUESTOS'!Q4)+'01_SUPUESTOS'!O4</x:f>
        <x:v>5.807530349881295</x:v>
      </x:c>
      <x:c r="D19" t="n">
        <x:f>D18*(1-'01_SUPUESTOS'!Q4)+'01_SUPUESTOS'!P4</x:f>
        <x:v>1.323889908399299</x:v>
      </x:c>
      <x:c r="E19" t="n">
        <x:f>SUM(B19:D19)</x:f>
        <x:v>21.228774536291876</x:v>
      </x:c>
      <x:c r="F19" t="n">
        <x:f>B19*'01_SUPUESTOS'!R4</x:f>
        <x:v>2678.497312822143</x:v>
      </x:c>
      <x:c r="G19" t="n">
        <x:f>C19*'01_SUPUESTOS'!S4</x:f>
        <x:v>4936.400797399101</x:v>
      </x:c>
      <x:c r="H19" t="n">
        <x:f>D19*'01_SUPUESTOS'!T4</x:f>
        <x:v>3442.113761838177</x:v>
      </x:c>
      <x:c r="I19" t="n">
        <x:f>SUM(F19:H19)</x:f>
        <x:v>11057.011872059422</x:v>
      </x:c>
      <x:c r="J19" t="n">
        <x:f>B19*'01_SUPUESTOS'!B4+C19*'01_SUPUESTOS'!C4+D19*'01_SUPUESTOS'!D4</x:f>
        <x:v>35312.168013732226</x:v>
      </x:c>
      <x:c r="K19" t="n">
        <x:f>MAX(F19-B19*'01_SUPUESTOS'!E4,0)*'01_SUPUESTOS'!H4+MAX(G19-C19*'01_SUPUESTOS'!F4,0)*'01_SUPUESTOS'!I4+MAX(H19-D19*'01_SUPUESTOS'!G4,0)*'01_SUPUESTOS'!J4</x:f>
        <x:v>7379.649616105462</x:v>
      </x:c>
      <x:c r="L19" t="n">
        <x:f>J19+K19</x:f>
        <x:v>42691.817629837686</x:v>
      </x:c>
      <x:c r="M19" t="n">
        <x:f>I19*'01_SUPUESTOS'!U4</x:f>
        <x:v>26.53682849294261</x:v>
      </x:c>
      <x:c r="N19" t="n">
        <x:f>E19*'01_SUPUESTOS'!W4</x:f>
        <x:v>955.2948541331344</x:v>
      </x:c>
      <x:c r="O19" t="n">
        <x:f>M19+N19</x:f>
        <x:v>981.831682626077</x:v>
      </x:c>
      <x:c r="P19" t="n">
        <x:f>SUM('01_SUPUESTOS'!V4,'01_SUPUESTOS'!X4:AB4)</x:f>
        <x:v>13311.08</x:v>
      </x:c>
      <x:c r="Q19" t="n">
        <x:f>L19-O19-P19</x:f>
        <x:v>28398.905947211606</x:v>
      </x:c>
      <x:c r="R19" t="n">
        <x:f>0</x:f>
        <x:v>0</x:v>
      </x:c>
      <x:c r="S19" t="n">
        <x:f>Q19-R19</x:f>
        <x:v>28398.905947211606</x:v>
      </x:c>
      <x:c r="T19" t="n">
        <x:f>T18+S19</x:f>
        <x:v>167170.9912260492</x:v>
      </x:c>
      <x:c r="U19" t="n">
        <x:f>S19/(1+(1+'01_SUPUESTOS'!AF4)^(1/12)-1)^A19</x:f>
        <x:v>22155.349144987118</x:v>
      </x:c>
      <x:c r="V19" t="n">
        <x:f>IF(Q19&gt;=0,1,0)</x:f>
        <x:v>1</x:v>
      </x:c>
      <x:c r="W19" t="n">
        <x:f>IF(T19&gt;=0,1,0)</x:f>
        <x:v>1</x:v>
      </x:c>
    </x:row>
    <x:row r="20">
      <x:c r="A20" t="n">
        <x:f>19</x:f>
        <x:v>19</x:v>
      </x:c>
      <x:c r="B20" t="n">
        <x:f>B19*(1-'01_SUPUESTOS'!Q4)+'01_SUPUESTOS'!N4</x:f>
        <x:v>14.706380735231168</x:v>
      </x:c>
      <x:c r="C20" t="n">
        <x:f>C19*(1-'01_SUPUESTOS'!Q4)+'01_SUPUESTOS'!O4</x:f>
        <x:v>6.049455046382482</x:v>
      </x:c>
      <x:c r="D20" t="n">
        <x:f>D19*(1-'01_SUPUESTOS'!Q4)+'01_SUPUESTOS'!P4</x:f>
        <x:v>1.3906510093153062</x:v>
      </x:c>
      <x:c r="E20" t="n">
        <x:f>SUM(B20:D20)</x:f>
        <x:v>22.146486790928954</x:v>
      </x:c>
      <x:c r="F20" t="n">
        <x:f>B20*'01_SUPUESTOS'!R4</x:f>
        <x:v>2794.212339693922</x:v>
      </x:c>
      <x:c r="G20" t="n">
        <x:f>C20*'01_SUPUESTOS'!S4</x:f>
        <x:v>5142.036789425109</x:v>
      </x:c>
      <x:c r="H20" t="n">
        <x:f>D20*'01_SUPUESTOS'!T4</x:f>
        <x:v>3615.692624219796</x:v>
      </x:c>
      <x:c r="I20" t="n">
        <x:f>SUM(F20:H20)</x:f>
        <x:v>11551.941753338826</x:v>
      </x:c>
      <x:c r="J20" t="n">
        <x:f>B20*'01_SUPUESTOS'!B4+C20*'01_SUPUESTOS'!C4+D20*'01_SUPUESTOS'!D4</x:f>
        <x:v>36884.0463335949</x:v>
      </x:c>
      <x:c r="K20" t="n">
        <x:f>MAX(F20-B20*'01_SUPUESTOS'!E4,0)*'01_SUPUESTOS'!H4+MAX(G20-C20*'01_SUPUESTOS'!F4,0)*'01_SUPUESTOS'!I4+MAX(H20-D20*'01_SUPUESTOS'!G4,0)*'01_SUPUESTOS'!J4</x:f>
        <x:v>7700.8531199444105</x:v>
      </x:c>
      <x:c r="L20" t="n">
        <x:f>J20+K20</x:f>
        <x:v>44584.899453539314</x:v>
      </x:c>
      <x:c r="M20" t="n">
        <x:f>I20*'01_SUPUESTOS'!U4</x:f>
        <x:v>27.72466020801318</x:v>
      </x:c>
      <x:c r="N20" t="n">
        <x:f>E20*'01_SUPUESTOS'!W4</x:f>
        <x:v>996.591905591803</x:v>
      </x:c>
      <x:c r="O20" t="n">
        <x:f>M20+N20</x:f>
        <x:v>1024.316565799816</x:v>
      </x:c>
      <x:c r="P20" t="n">
        <x:f>SUM('01_SUPUESTOS'!V4,'01_SUPUESTOS'!X4:AB4)</x:f>
        <x:v>13311.08</x:v>
      </x:c>
      <x:c r="Q20" t="n">
        <x:f>L20-O20-P20</x:f>
        <x:v>30249.502887739494</x:v>
      </x:c>
      <x:c r="R20" t="n">
        <x:f>0</x:f>
        <x:v>0</x:v>
      </x:c>
      <x:c r="S20" t="n">
        <x:f>Q20-R20</x:f>
        <x:v>30249.502887739494</x:v>
      </x:c>
      <x:c r="T20" t="n">
        <x:f>T19+S20</x:f>
        <x:v>197420.4941137887</x:v>
      </x:c>
      <x:c r="U20" t="n">
        <x:f>S20/(1+(1+'01_SUPUESTOS'!AF4)^(1/12)-1)^A20</x:f>
        <x:v>23275.823952517567</x:v>
      </x:c>
      <x:c r="V20" t="n">
        <x:f>IF(Q20&gt;=0,1,0)</x:f>
        <x:v>1</x:v>
      </x:c>
      <x:c r="W20" t="n">
        <x:f>IF(T20&gt;=0,1,0)</x:f>
        <x:v>1</x:v>
      </x:c>
    </x:row>
    <x:row r="21">
      <x:c r="A21" t="n">
        <x:f>20</x:f>
        <x:v>20</x:v>
      </x:c>
      <x:c r="B21" t="n">
        <x:f>B20*(1-'01_SUPUESTOS'!Q4)+'01_SUPUESTOS'!N4</x:f>
        <x:v>15.309316927878855</x:v>
      </x:c>
      <x:c r="C21" t="n">
        <x:f>C20*(1-'01_SUPUESTOS'!Q4)+'01_SUPUESTOS'!O4</x:f>
        <x:v>6.288960495918657</x:v>
      </x:c>
      <x:c r="D21" t="n">
        <x:f>D20*(1-'01_SUPUESTOS'!Q4)+'01_SUPUESTOS'!P4</x:f>
        <x:v>1.4567444992221532</x:v>
      </x:c>
      <x:c r="E21" t="n">
        <x:f>SUM(B21:D21)</x:f>
        <x:v>23.055021923019666</x:v>
      </x:c>
      <x:c r="F21" t="n">
        <x:f>B21*'01_SUPUESTOS'!R4</x:f>
        <x:v>2908.7702162969827</x:v>
      </x:c>
      <x:c r="G21" t="n">
        <x:f>C21*'01_SUPUESTOS'!S4</x:f>
        <x:v>5345.616421530858</x:v>
      </x:c>
      <x:c r="H21" t="n">
        <x:f>D21*'01_SUPUESTOS'!T4</x:f>
        <x:v>3787.5356979775984</x:v>
      </x:c>
      <x:c r="I21" t="n">
        <x:f>SUM(F21:H21)</x:f>
        <x:v>12041.922335805439</x:v>
      </x:c>
      <x:c r="J21" t="n">
        <x:f>B21*'01_SUPUESTOS'!B4+C21*'01_SUPUESTOS'!C4+D21*'01_SUPUESTOS'!D4</x:f>
        <x:v>38440.20587025895</x:v>
      </x:c>
      <x:c r="K21" t="n">
        <x:f>MAX(F21-B21*'01_SUPUESTOS'!E4,0)*'01_SUPUESTOS'!H4+MAX(G21-C21*'01_SUPUESTOS'!F4,0)*'01_SUPUESTOS'!I4+MAX(H21-D21*'01_SUPUESTOS'!G4,0)*'01_SUPUESTOS'!J4</x:f>
        <x:v>8018.844588744963</x:v>
      </x:c>
      <x:c r="L21" t="n">
        <x:f>J21+K21</x:f>
        <x:v>46459.05045900391</x:v>
      </x:c>
      <x:c r="M21" t="n">
        <x:f>I21*'01_SUPUESTOS'!U4</x:f>
        <x:v>28.90061360593305</x:v>
      </x:c>
      <x:c r="N21" t="n">
        <x:f>E21*'01_SUPUESTOS'!W4</x:f>
        <x:v>1037.4759865358849</x:v>
      </x:c>
      <x:c r="O21" t="n">
        <x:f>M21+N21</x:f>
        <x:v>1066.376600141818</x:v>
      </x:c>
      <x:c r="P21" t="n">
        <x:f>SUM('01_SUPUESTOS'!V4,'01_SUPUESTOS'!X4:AB4)</x:f>
        <x:v>13311.08</x:v>
      </x:c>
      <x:c r="Q21" t="n">
        <x:f>L21-O21-P21</x:f>
        <x:v>32081.593858862092</x:v>
      </x:c>
      <x:c r="R21" t="n">
        <x:f>0</x:f>
        <x:v>0</x:v>
      </x:c>
      <x:c r="S21" t="n">
        <x:f>Q21-R21</x:f>
        <x:v>32081.593858862092</x:v>
      </x:c>
      <x:c r="T21" t="n">
        <x:f>T20+S21</x:f>
        <x:v>229502.0879726508</x:v>
      </x:c>
      <x:c r="U21" t="n">
        <x:f>S21/(1+(1+'01_SUPUESTOS'!AF4)^(1/12)-1)^A21</x:f>
        <x:v>24347.400013009137</x:v>
      </x:c>
      <x:c r="V21" t="n">
        <x:f>IF(Q21&gt;=0,1,0)</x:f>
        <x:v>1</x:v>
      </x:c>
      <x:c r="W21" t="n">
        <x:f>IF(T21&gt;=0,1,0)</x:f>
        <x:v>1</x:v>
      </x:c>
    </x:row>
    <x:row r="22">
      <x:c r="A22" t="n">
        <x:f>21</x:f>
        <x:v>21</x:v>
      </x:c>
      <x:c r="B22" t="n">
        <x:f>B21*(1-'01_SUPUESTOS'!Q4)+'01_SUPUESTOS'!N4</x:f>
        <x:v>15.906223758600067</x:v>
      </x:c>
      <x:c r="C22" t="n">
        <x:f>C21*(1-'01_SUPUESTOS'!Q4)+'01_SUPUESTOS'!O4</x:f>
        <x:v>6.52607089095947</x:v>
      </x:c>
      <x:c r="D22" t="n">
        <x:f>D21*(1-'01_SUPUESTOS'!Q4)+'01_SUPUESTOS'!P4</x:f>
        <x:v>1.5221770542299318</x:v>
      </x:c>
      <x:c r="E22" t="n">
        <x:f>SUM(B22:D22)</x:f>
        <x:v>23.95447170378947</x:v>
      </x:c>
      <x:c r="F22" t="n">
        <x:f>B22*'01_SUPUESTOS'!R4</x:f>
        <x:v>3022.1825141340128</x:v>
      </x:c>
      <x:c r="G22" t="n">
        <x:f>C22*'01_SUPUESTOS'!S4</x:f>
        <x:v>5547.160257315549</x:v>
      </x:c>
      <x:c r="H22" t="n">
        <x:f>D22*'01_SUPUESTOS'!T4</x:f>
        <x:v>3957.6603409978225</x:v>
      </x:c>
      <x:c r="I22" t="n">
        <x:f>SUM(F22:H22)</x:f>
        <x:v>12527.003112447383</x:v>
      </x:c>
      <x:c r="J22" t="n">
        <x:f>B22*'01_SUPUESTOS'!B4+C22*'01_SUPUESTOS'!C4+D22*'01_SUPUESTOS'!D4</x:f>
        <x:v>39980.80381155636</x:v>
      </x:c>
      <x:c r="K22" t="n">
        <x:f>MAX(F22-B22*'01_SUPUESTOS'!E4,0)*'01_SUPUESTOS'!H4+MAX(G22-C22*'01_SUPUESTOS'!F4,0)*'01_SUPUESTOS'!I4+MAX(H22-D22*'01_SUPUESTOS'!G4,0)*'01_SUPUESTOS'!J4</x:f>
        <x:v>8333.656142857508</x:v>
      </x:c>
      <x:c r="L22" t="n">
        <x:f>J22+K22</x:f>
        <x:v>48314.45995441387</x:v>
      </x:c>
      <x:c r="M22" t="n">
        <x:f>I22*'01_SUPUESTOS'!U4</x:f>
        <x:v>30.064807469873717</x:v>
      </x:c>
      <x:c r="N22" t="n">
        <x:f>E22*'01_SUPUESTOS'!W4</x:f>
        <x:v>1077.951226670526</x:v>
      </x:c>
      <x:c r="O22" t="n">
        <x:f>M22+N22</x:f>
        <x:v>1108.0160341403998</x:v>
      </x:c>
      <x:c r="P22" t="n">
        <x:f>SUM('01_SUPUESTOS'!V4,'01_SUPUESTOS'!X4:AB4)</x:f>
        <x:v>13311.08</x:v>
      </x:c>
      <x:c r="Q22" t="n">
        <x:f>L22-O22-P22</x:f>
        <x:v>33895.36392027347</x:v>
      </x:c>
      <x:c r="R22" t="n">
        <x:f>0</x:f>
        <x:v>0</x:v>
      </x:c>
      <x:c r="S22" t="n">
        <x:f>Q22-R22</x:f>
        <x:v>33895.36392027347</x:v>
      </x:c>
      <x:c r="T22" t="n">
        <x:f>T21+S22</x:f>
        <x:v>263397.45189292426</x:v>
      </x:c>
      <x:c r="U22" t="n">
        <x:f>S22/(1+(1+'01_SUPUESTOS'!AF4)^(1/12)-1)^A22</x:f>
        <x:v>25371.53763535815</x:v>
      </x:c>
      <x:c r="V22" t="n">
        <x:f>IF(Q22&gt;=0,1,0)</x:f>
        <x:v>1</x:v>
      </x:c>
      <x:c r="W22" t="n">
        <x:f>IF(T22&gt;=0,1,0)</x:f>
        <x:v>1</x:v>
      </x:c>
    </x:row>
    <x:row r="23">
      <x:c r="A23" t="n">
        <x:f>22</x:f>
        <x:v>22</x:v>
      </x:c>
      <x:c r="B23" t="n">
        <x:f>B22*(1-'01_SUPUESTOS'!Q4)+'01_SUPUESTOS'!N4</x:f>
        <x:v>16.497161521014064</x:v>
      </x:c>
      <x:c r="C23" t="n">
        <x:f>C22*(1-'01_SUPUESTOS'!Q4)+'01_SUPUESTOS'!O4</x:f>
        <x:v>6.760810182049875</x:v>
      </x:c>
      <x:c r="D23" t="n">
        <x:f>D22*(1-'01_SUPUESTOS'!Q4)+'01_SUPUESTOS'!P4</x:f>
        <x:v>1.5869552836876326</x:v>
      </x:c>
      <x:c r="E23" t="n">
        <x:f>SUM(B23:D23)</x:f>
        <x:v>24.84492698675157</x:v>
      </x:c>
      <x:c r="F23" t="n">
        <x:f>B23*'01_SUPUESTOS'!R4</x:f>
        <x:v>3134.460688992672</x:v>
      </x:c>
      <x:c r="G23" t="n">
        <x:f>C23*'01_SUPUESTOS'!S4</x:f>
        <x:v>5746.688654742394</x:v>
      </x:c>
      <x:c r="H23" t="n">
        <x:f>D23*'01_SUPUESTOS'!T4</x:f>
        <x:v>4126.083737587845</x:v>
      </x:c>
      <x:c r="I23" t="n">
        <x:f>SUM(F23:H23)</x:f>
        <x:v>13007.23308132291</x:v>
      </x:c>
      <x:c r="J23" t="n">
        <x:f>B23*'01_SUPUESTOS'!B4+C23*'01_SUPUESTOS'!C4+D23*'01_SUPUESTOS'!D4</x:f>
        <x:v>41505.9957734408</x:v>
      </x:c>
      <x:c r="K23" t="n">
        <x:f>MAX(F23-B23*'01_SUPUESTOS'!E4,0)*'01_SUPUESTOS'!H4+MAX(G23-C23*'01_SUPUESTOS'!F4,0)*'01_SUPUESTOS'!I4+MAX(H23-D23*'01_SUPUESTOS'!G4,0)*'01_SUPUESTOS'!J4</x:f>
        <x:v>8645.319581428936</x:v>
      </x:c>
      <x:c r="L23" t="n">
        <x:f>J23+K23</x:f>
        <x:v>50151.31535486974</x:v>
      </x:c>
      <x:c r="M23" t="n">
        <x:f>I23*'01_SUPUESTOS'!U4</x:f>
        <x:v>31.21735939517498</x:v>
      </x:c>
      <x:c r="N23" t="n">
        <x:f>E23*'01_SUPUESTOS'!W4</x:f>
        <x:v>1118.0217144038206</x:v>
      </x:c>
      <x:c r="O23" t="n">
        <x:f>M23+N23</x:f>
        <x:v>1149.2390737989956</x:v>
      </x:c>
      <x:c r="P23" t="n">
        <x:f>SUM('01_SUPUESTOS'!V4,'01_SUPUESTOS'!X4:AB4)</x:f>
        <x:v>13311.08</x:v>
      </x:c>
      <x:c r="Q23" t="n">
        <x:f>L23-O23-P23</x:f>
        <x:v>35690.99628107074</x:v>
      </x:c>
      <x:c r="R23" t="n">
        <x:f>0</x:f>
        <x:v>0</x:v>
      </x:c>
      <x:c r="S23" t="n">
        <x:f>Q23-R23</x:f>
        <x:v>35690.99628107074</x:v>
      </x:c>
      <x:c r="T23" t="n">
        <x:f>T22+S23</x:f>
        <x:v>299088.448173995</x:v>
      </x:c>
      <x:c r="U23" t="n">
        <x:f>S23/(1+(1+'01_SUPUESTOS'!AF4)^(1/12)-1)^A23</x:f>
        <x:v>26349.658500107227</x:v>
      </x:c>
      <x:c r="V23" t="n">
        <x:f>IF(Q23&gt;=0,1,0)</x:f>
        <x:v>1</x:v>
      </x:c>
      <x:c r="W23" t="n">
        <x:f>IF(T23&gt;=0,1,0)</x:f>
        <x:v>1</x:v>
      </x:c>
    </x:row>
    <x:row r="24">
      <x:c r="A24" t="n">
        <x:f>23</x:f>
        <x:v>23</x:v>
      </x:c>
      <x:c r="B24" t="n">
        <x:f>B23*(1-'01_SUPUESTOS'!Q4)+'01_SUPUESTOS'!N4</x:f>
        <x:v>17.082189905803922</x:v>
      </x:c>
      <x:c r="C24" t="n">
        <x:f>C23*(1-'01_SUPUESTOS'!Q4)+'01_SUPUESTOS'!O4</x:f>
        <x:v>6.993202080229376</x:v>
      </x:c>
      <x:c r="D24" t="n">
        <x:f>D23*(1-'01_SUPUESTOS'!Q4)+'01_SUPUESTOS'!P4</x:f>
        <x:v>1.6510857308507563</x:v>
      </x:c>
      <x:c r="E24" t="n">
        <x:f>SUM(B24:D24)</x:f>
        <x:v>25.726477716884055</x:v>
      </x:c>
      <x:c r="F24" t="n">
        <x:f>B24*'01_SUPUESTOS'!R4</x:f>
        <x:v>3245.616082102745</x:v>
      </x:c>
      <x:c r="G24" t="n">
        <x:f>C24*'01_SUPUESTOS'!S4</x:f>
        <x:v>5944.22176819497</x:v>
      </x:c>
      <x:c r="H24" t="n">
        <x:f>D24*'01_SUPUESTOS'!T4</x:f>
        <x:v>4292.822900211966</x:v>
      </x:c>
      <x:c r="I24" t="n">
        <x:f>SUM(F24:H24)</x:f>
        <x:v>13482.66075050968</x:v>
      </x:c>
      <x:c r="J24" t="n">
        <x:f>B24*'01_SUPUESTOS'!B4+C24*'01_SUPUESTOS'!C4+D24*'01_SUPUESTOS'!D4</x:f>
        <x:v>43015.93581570638</x:v>
      </x:c>
      <x:c r="K24" t="n">
        <x:f>MAX(F24-B24*'01_SUPUESTOS'!E4,0)*'01_SUPUESTOS'!H4+MAX(G24-C24*'01_SUPUESTOS'!F4,0)*'01_SUPUESTOS'!I4+MAX(H24-D24*'01_SUPUESTOS'!G4,0)*'01_SUPUESTOS'!J4</x:f>
        <x:v>8953.866385614645</x:v>
      </x:c>
      <x:c r="L24" t="n">
        <x:f>J24+K24</x:f>
        <x:v>51969.80220132103</x:v>
      </x:c>
      <x:c r="M24" t="n">
        <x:f>I24*'01_SUPUESTOS'!U4</x:f>
        <x:v>32.35838580122323</x:v>
      </x:c>
      <x:c r="N24" t="n">
        <x:f>E24*'01_SUPUESTOS'!W4</x:f>
        <x:v>1157.6914972597824</x:v>
      </x:c>
      <x:c r="O24" t="n">
        <x:f>M24+N24</x:f>
        <x:v>1190.0498830610056</x:v>
      </x:c>
      <x:c r="P24" t="n">
        <x:f>SUM('01_SUPUESTOS'!V4,'01_SUPUESTOS'!X4:AB4)</x:f>
        <x:v>13311.08</x:v>
      </x:c>
      <x:c r="Q24" t="n">
        <x:f>L24-O24-P24</x:f>
        <x:v>37468.67231826002</x:v>
      </x:c>
      <x:c r="R24" t="n">
        <x:f>0</x:f>
        <x:v>0</x:v>
      </x:c>
      <x:c r="S24" t="n">
        <x:f>Q24-R24</x:f>
        <x:v>37468.67231826002</x:v>
      </x:c>
      <x:c r="T24" t="n">
        <x:f>T23+S24</x:f>
        <x:v>336557.120492255</x:v>
      </x:c>
      <x:c r="U24" t="n">
        <x:f>S24/(1+(1+'01_SUPUESTOS'!AF4)^(1/12)-1)^A24</x:f>
        <x:v>27283.14662740568</x:v>
      </x:c>
      <x:c r="V24" t="n">
        <x:f>IF(Q24&gt;=0,1,0)</x:f>
        <x:v>1</x:v>
      </x:c>
      <x:c r="W24" t="n">
        <x:f>IF(T24&gt;=0,1,0)</x:f>
        <x:v>1</x:v>
      </x:c>
    </x:row>
    <x:row r="25">
      <x:c r="A25" t="n">
        <x:f>24</x:f>
        <x:v>24</x:v>
      </x:c>
      <x:c r="B25" t="n">
        <x:f>B24*(1-'01_SUPUESTOS'!Q4)+'01_SUPUESTOS'!N4</x:f>
        <x:v>17.66136800674588</x:v>
      </x:c>
      <x:c r="C25" t="n">
        <x:f>C24*(1-'01_SUPUESTOS'!Q4)+'01_SUPUESTOS'!O4</x:f>
        <x:v>7.223270059427082</x:v>
      </x:c>
      <x:c r="D25" t="n">
        <x:f>D24*(1-'01_SUPUESTOS'!Q4)+'01_SUPUESTOS'!P4</x:f>
        <x:v>1.7145748735422488</x:v>
      </x:c>
      <x:c r="E25" t="n">
        <x:f>SUM(B25:D25)</x:f>
        <x:v>26.599212939715212</x:v>
      </x:c>
      <x:c r="F25" t="n">
        <x:f>B25*'01_SUPUESTOS'!R4</x:f>
        <x:v>3355.6599212817173</x:v>
      </x:c>
      <x:c r="G25" t="n">
        <x:f>C25*'01_SUPUESTOS'!S4</x:f>
        <x:v>6139.77955051302</x:v>
      </x:c>
      <x:c r="H25" t="n">
        <x:f>D25*'01_SUPUESTOS'!T4</x:f>
        <x:v>4457.894671209847</x:v>
      </x:c>
      <x:c r="I25" t="n">
        <x:f>SUM(F25:H25)</x:f>
        <x:v>13953.334143004584</x:v>
      </x:c>
      <x:c r="J25" t="n">
        <x:f>B25*'01_SUPUESTOS'!B4+C25*'01_SUPUESTOS'!C4+D25*'01_SUPUESTOS'!D4</x:f>
        <x:v>44510.77645754932</x:v>
      </x:c>
      <x:c r="K25" t="n">
        <x:f>MAX(F25-B25*'01_SUPUESTOS'!E4,0)*'01_SUPUESTOS'!H4+MAX(G25-C25*'01_SUPUESTOS'!F4,0)*'01_SUPUESTOS'!I4+MAX(H25-D25*'01_SUPUESTOS'!G4,0)*'01_SUPUESTOS'!J4</x:f>
        <x:v>9259.327721758495</x:v>
      </x:c>
      <x:c r="L25" t="n">
        <x:f>J25+K25</x:f>
        <x:v>53770.10417930782</x:v>
      </x:c>
      <x:c r="M25" t="n">
        <x:f>I25*'01_SUPUESTOS'!U4</x:f>
        <x:v>33.488001943210996</x:v>
      </x:c>
      <x:c r="N25" t="n">
        <x:f>E25*'01_SUPUESTOS'!W4</x:f>
        <x:v>1196.9645822871846</x:v>
      </x:c>
      <x:c r="O25" t="n">
        <x:f>M25+N25</x:f>
        <x:v>1230.4525842303956</x:v>
      </x:c>
      <x:c r="P25" t="n">
        <x:f>SUM('01_SUPUESTOS'!V4,'01_SUPUESTOS'!X4:AB4)</x:f>
        <x:v>13311.08</x:v>
      </x:c>
      <x:c r="Q25" t="n">
        <x:f>L25-O25-P25</x:f>
        <x:v>39228.57159507742</x:v>
      </x:c>
      <x:c r="R25" t="n">
        <x:f>0</x:f>
        <x:v>0</x:v>
      </x:c>
      <x:c r="S25" t="n">
        <x:f>Q25-R25</x:f>
        <x:v>39228.57159507742</x:v>
      </x:c>
      <x:c r="T25" t="n">
        <x:f>T24+S25</x:f>
        <x:v>375785.6920873324</x:v>
      </x:c>
      <x:c r="U25" t="n">
        <x:f>S25/(1+(1+'01_SUPUESTOS'!AF4)^(1/12)-1)^A25</x:f>
        <x:v>28173.34932137139</x:v>
      </x:c>
      <x:c r="V25" t="n">
        <x:f>IF(Q25&gt;=0,1,0)</x:f>
        <x:v>1</x:v>
      </x:c>
      <x:c r="W25" t="n">
        <x:f>IF(T25&gt;=0,1,0)</x:f>
        <x:v>1</x:v>
      </x:c>
    </x:row>
    <x:row r="26">
      <x:c r="A26" t="n">
        <x:f>25</x:f>
        <x:v>25</x:v>
      </x:c>
      <x:c r="B26" t="n">
        <x:f>B25*(1-'01_SUPUESTOS'!Q4)+'01_SUPUESTOS'!N4</x:f>
        <x:v>18.234754326678424</x:v>
      </x:c>
      <x:c r="C26" t="n">
        <x:f>C25*(1-'01_SUPUESTOS'!Q4)+'01_SUPUESTOS'!O4</x:f>
        <x:v>7.451037358832811</x:v>
      </x:c>
      <x:c r="D26" t="n">
        <x:f>D25*(1-'01_SUPUESTOS'!Q4)+'01_SUPUESTOS'!P4</x:f>
        <x:v>1.7774291248068264</x:v>
      </x:c>
      <x:c r="E26" t="n">
        <x:f>SUM(B26:D26)</x:f>
        <x:v>27.46322081031806</x:v>
      </x:c>
      <x:c r="F26" t="n">
        <x:f>B26*'01_SUPUESTOS'!R4</x:f>
        <x:v>3464.6033220689005</x:v>
      </x:c>
      <x:c r="G26" t="n">
        <x:f>C26*'01_SUPUESTOS'!S4</x:f>
        <x:v>6333.381755007889</x:v>
      </x:c>
      <x:c r="H26" t="n">
        <x:f>D26*'01_SUPUESTOS'!T4</x:f>
        <x:v>4621.315724497748</x:v>
      </x:c>
      <x:c r="I26" t="n">
        <x:f>SUM(F26:H26)</x:f>
        <x:v>14419.300801574538</x:v>
      </x:c>
      <x:c r="J26" t="n">
        <x:f>B26*'01_SUPUESTOS'!B4+C26*'01_SUPUESTOS'!C4+D26*'01_SUPUESTOS'!D4</x:f>
        <x:v>45990.668692973835</x:v>
      </x:c>
      <x:c r="K26" t="n">
        <x:f>MAX(F26-B26*'01_SUPUESTOS'!E4,0)*'01_SUPUESTOS'!H4+MAX(G26-C26*'01_SUPUESTOS'!F4,0)*'01_SUPUESTOS'!I4+MAX(H26-D26*'01_SUPUESTOS'!G4,0)*'01_SUPUESTOS'!J4</x:f>
        <x:v>9561.734444540916</x:v>
      </x:c>
      <x:c r="L26" t="n">
        <x:f>J26+K26</x:f>
        <x:v>55552.40313751475</x:v>
      </x:c>
      <x:c r="M26" t="n">
        <x:f>I26*'01_SUPUESTOS'!U4</x:f>
        <x:v>34.606321923778886</x:v>
      </x:c>
      <x:c r="N26" t="n">
        <x:f>E26*'01_SUPUESTOS'!W4</x:f>
        <x:v>1235.8449364643127</x:v>
      </x:c>
      <x:c r="O26" t="n">
        <x:f>M26+N26</x:f>
        <x:v>1270.4512583880917</x:v>
      </x:c>
      <x:c r="P26" t="n">
        <x:f>SUM('01_SUPUESTOS'!V4,'01_SUPUESTOS'!X4:AB4)</x:f>
        <x:v>13311.08</x:v>
      </x:c>
      <x:c r="Q26" t="n">
        <x:f>L26-O26-P26</x:f>
        <x:v>40970.87187912666</x:v>
      </x:c>
      <x:c r="R26" t="n">
        <x:f>0</x:f>
        <x:v>0</x:v>
      </x:c>
      <x:c r="S26" t="n">
        <x:f>Q26-R26</x:f>
        <x:v>40970.87187912666</x:v>
      </x:c>
      <x:c r="T26" t="n">
        <x:f>T25+S26</x:f>
        <x:v>416756.56396645907</x:v>
      </x:c>
      <x:c r="U26" t="n">
        <x:f>S26/(1+(1+'01_SUPUESTOS'!AF4)^(1/12)-1)^A26</x:f>
        <x:v>29021.578091421066</x:v>
      </x:c>
      <x:c r="V26" t="n">
        <x:f>IF(Q26&gt;=0,1,0)</x:f>
        <x:v>1</x:v>
      </x:c>
      <x:c r="W26" t="n">
        <x:f>IF(T26&gt;=0,1,0)</x:f>
        <x:v>1</x:v>
      </x:c>
    </x:row>
    <x:row r="27">
      <x:c r="A27" t="n">
        <x:f>26</x:f>
        <x:v>26</x:v>
      </x:c>
      <x:c r="B27" t="n">
        <x:f>B26*(1-'01_SUPUESTOS'!Q4)+'01_SUPUESTOS'!N4</x:f>
        <x:v>18.80240678341164</x:v>
      </x:c>
      <x:c r="C27" t="n">
        <x:f>C26*(1-'01_SUPUESTOS'!Q4)+'01_SUPUESTOS'!O4</x:f>
        <x:v>7.676526985244482</x:v>
      </x:c>
      <x:c r="D27" t="n">
        <x:f>D26*(1-'01_SUPUESTOS'!Q4)+'01_SUPUESTOS'!P4</x:f>
        <x:v>1.8396548335587581</x:v>
      </x:c>
      <x:c r="E27" t="n">
        <x:f>SUM(B27:D27)</x:f>
        <x:v>28.31858860221488</x:v>
      </x:c>
      <x:c r="F27" t="n">
        <x:f>B27*'01_SUPUESTOS'!R4</x:f>
        <x:v>3572.4572888482116</x:v>
      </x:c>
      <x:c r="G27" t="n">
        <x:f>C27*'01_SUPUESTOS'!S4</x:f>
        <x:v>6525.04793745781</x:v>
      </x:c>
      <x:c r="H27" t="n">
        <x:f>D27*'01_SUPUESTOS'!T4</x:f>
        <x:v>4783.102567252771</x:v>
      </x:c>
      <x:c r="I27" t="n">
        <x:f>SUM(F27:H27)</x:f>
        <x:v>14880.607793558793</x:v>
      </x:c>
      <x:c r="J27" t="n">
        <x:f>B27*'01_SUPUESTOS'!B4+C27*'01_SUPUESTOS'!C4+D27*'01_SUPUESTOS'!D4</x:f>
        <x:v>47455.7620060441</x:v>
      </x:c>
      <x:c r="K27" t="n">
        <x:f>MAX(F27-B27*'01_SUPUESTOS'!E4,0)*'01_SUPUESTOS'!H4+MAX(G27-C27*'01_SUPUESTOS'!F4,0)*'01_SUPUESTOS'!I4+MAX(H27-D27*'01_SUPUESTOS'!G4,0)*'01_SUPUESTOS'!J4</x:f>
        <x:v>9861.117100095504</x:v>
      </x:c>
      <x:c r="L27" t="n">
        <x:f>J27+K27</x:f>
        <x:v>57316.879106139604</x:v>
      </x:c>
      <x:c r="M27" t="n">
        <x:f>I27*'01_SUPUESTOS'!U4</x:f>
        <x:v>35.7134587045411</x:v>
      </x:c>
      <x:c r="N27" t="n">
        <x:f>E27*'01_SUPUESTOS'!W4</x:f>
        <x:v>1274.3364870996697</x:v>
      </x:c>
      <x:c r="O27" t="n">
        <x:f>M27+N27</x:f>
        <x:v>1310.049945804211</x:v>
      </x:c>
      <x:c r="P27" t="n">
        <x:f>SUM('01_SUPUESTOS'!V4,'01_SUPUESTOS'!X4:AB4)</x:f>
        <x:v>13311.08</x:v>
      </x:c>
      <x:c r="Q27" t="n">
        <x:f>L27-O27-P27</x:f>
        <x:v>42695.74916033539</x:v>
      </x:c>
      <x:c r="R27" t="n">
        <x:f>0</x:f>
        <x:v>0</x:v>
      </x:c>
      <x:c r="S27" t="n">
        <x:f>Q27-R27</x:f>
        <x:v>42695.74916033539</x:v>
      </x:c>
      <x:c r="T27" t="n">
        <x:f>T26+S27</x:f>
        <x:v>459452.31312679447</x:v>
      </x:c>
      <x:c r="U27" t="n">
        <x:f>S27/(1+(1+'01_SUPUESTOS'!AF4)^(1/12)-1)^A27</x:f>
        <x:v>29829.109551122227</x:v>
      </x:c>
      <x:c r="V27" t="n">
        <x:f>IF(Q27&gt;=0,1,0)</x:f>
        <x:v>1</x:v>
      </x:c>
      <x:c r="W27" t="n">
        <x:f>IF(T27&gt;=0,1,0)</x:f>
        <x:v>1</x:v>
      </x:c>
    </x:row>
    <x:row r="28">
      <x:c r="A28" t="n">
        <x:f>27</x:f>
        <x:v>27</x:v>
      </x:c>
      <x:c r="B28" t="n">
        <x:f>B27*(1-'01_SUPUESTOS'!Q4)+'01_SUPUESTOS'!N4</x:f>
        <x:v>19.364382715577523</x:v>
      </x:c>
      <x:c r="C28" t="n">
        <x:f>C27*(1-'01_SUPUESTOS'!Q4)+'01_SUPUESTOS'!O4</x:f>
        <x:v>7.899761715392037</x:v>
      </x:c>
      <x:c r="D28" t="n">
        <x:f>D27*(1-'01_SUPUESTOS'!Q4)+'01_SUPUESTOS'!P4</x:f>
        <x:v>1.9012582852231705</x:v>
      </x:c>
      <x:c r="E28" t="n">
        <x:f>SUM(B28:D28)</x:f>
        <x:v>29.16540271619273</x:v>
      </x:c>
      <x:c r="F28" t="n">
        <x:f>B28*'01_SUPUESTOS'!R4</x:f>
        <x:v>3679.2327159597294</x:v>
      </x:c>
      <x:c r="G28" t="n">
        <x:f>C28*'01_SUPUESTOS'!S4</x:f>
        <x:v>6714.7974580832315</x:v>
      </x:c>
      <x:c r="H28" t="n">
        <x:f>D28*'01_SUPUESTOS'!T4</x:f>
        <x:v>4943.271541580243</x:v>
      </x:c>
      <x:c r="I28" t="n">
        <x:f>SUM(F28:H28)</x:f>
        <x:v>15337.301715623204</x:v>
      </x:c>
      <x:c r="J28" t="n">
        <x:f>B28*'01_SUPUESTOS'!B4+C28*'01_SUPUESTOS'!C4+D28*'01_SUPUESTOS'!D4</x:f>
        <x:v>48906.20438598365</x:v>
      </x:c>
      <x:c r="K28" t="n">
        <x:f>MAX(F28-B28*'01_SUPUESTOS'!E4,0)*'01_SUPUESTOS'!H4+MAX(G28-C28*'01_SUPUESTOS'!F4,0)*'01_SUPUESTOS'!I4+MAX(H28-D28*'01_SUPUESTOS'!G4,0)*'01_SUPUESTOS'!J4</x:f>
        <x:v>10157.505929094554</x:v>
      </x:c>
      <x:c r="L28" t="n">
        <x:f>J28+K28</x:f>
        <x:v>59063.710315078206</x:v>
      </x:c>
      <x:c r="M28" t="n">
        <x:f>I28*'01_SUPUESTOS'!U4</x:f>
        <x:v>36.809524117495684</x:v>
      </x:c>
      <x:c r="N28" t="n">
        <x:f>E28*'01_SUPUESTOS'!W4</x:f>
        <x:v>1312.4431222286728</x:v>
      </x:c>
      <x:c r="O28" t="n">
        <x:f>M28+N28</x:f>
        <x:v>1349.2526463461684</x:v>
      </x:c>
      <x:c r="P28" t="n">
        <x:f>SUM('01_SUPUESTOS'!V4,'01_SUPUESTOS'!X4:AB4)</x:f>
        <x:v>13311.08</x:v>
      </x:c>
      <x:c r="Q28" t="n">
        <x:f>L28-O28-P28</x:f>
        <x:v>44403.377668732035</x:v>
      </x:c>
      <x:c r="R28" t="n">
        <x:f>0</x:f>
        <x:v>0</x:v>
      </x:c>
      <x:c r="S28" t="n">
        <x:f>Q28-R28</x:f>
        <x:v>44403.377668732035</x:v>
      </x:c>
      <x:c r="T28" t="n">
        <x:f>T27+S28</x:f>
        <x:v>503855.6907955265</x:v>
      </x:c>
      <x:c r="U28" t="n">
        <x:f>S28/(1+(1+'01_SUPUESTOS'!AF4)^(1/12)-1)^A28</x:f>
        <x:v>30597.18629510719</x:v>
      </x:c>
      <x:c r="V28" t="n">
        <x:f>IF(Q28&gt;=0,1,0)</x:f>
        <x:v>1</x:v>
      </x:c>
      <x:c r="W28" t="n">
        <x:f>IF(T28&gt;=0,1,0)</x:f>
        <x:v>1</x:v>
      </x:c>
    </x:row>
    <x:row r="29">
      <x:c r="A29" t="n">
        <x:f>28</x:f>
        <x:v>28</x:v>
      </x:c>
      <x:c r="B29" t="n">
        <x:f>B28*(1-'01_SUPUESTOS'!Q4)+'01_SUPUESTOS'!N4</x:f>
        <x:v>19.92073888842175</x:v>
      </x:c>
      <x:c r="C29" t="n">
        <x:f>C28*(1-'01_SUPUESTOS'!Q4)+'01_SUPUESTOS'!O4</x:f>
        <x:v>8.120764098238118</x:v>
      </x:c>
      <x:c r="D29" t="n">
        <x:f>D28*(1-'01_SUPUESTOS'!Q4)+'01_SUPUESTOS'!P4</x:f>
        <x:v>1.962245702370939</x:v>
      </x:c>
      <x:c r="E29" t="n">
        <x:f>SUM(B29:D29)</x:f>
        <x:v>30.003748689030804</x:v>
      </x:c>
      <x:c r="F29" t="n">
        <x:f>B29*'01_SUPUESTOS'!R4</x:f>
        <x:v>3784.940388800132</x:v>
      </x:c>
      <x:c r="G29" t="n">
        <x:f>C29*'01_SUPUESTOS'!S4</x:f>
        <x:v>6902.6494835024</x:v>
      </x:c>
      <x:c r="H29" t="n">
        <x:f>D29*'01_SUPUESTOS'!T4</x:f>
        <x:v>5101.838826164441</x:v>
      </x:c>
      <x:c r="I29" t="n">
        <x:f>SUM(F29:H29)</x:f>
        <x:v>15789.428698466972</x:v>
      </x:c>
      <x:c r="J29" t="n">
        <x:f>B29*'01_SUPUESTOS'!B4+C29*'01_SUPUESTOS'!C4+D29*'01_SUPUESTOS'!D4</x:f>
        <x:v>50342.142342123814</x:v>
      </x:c>
      <x:c r="K29" t="n">
        <x:f>MAX(F29-B29*'01_SUPUESTOS'!E4,0)*'01_SUPUESTOS'!H4+MAX(G29-C29*'01_SUPUESTOS'!F4,0)*'01_SUPUESTOS'!I4+MAX(H29-D29*'01_SUPUESTOS'!G4,0)*'01_SUPUESTOS'!J4</x:f>
        <x:v>10450.930869803602</x:v>
      </x:c>
      <x:c r="L29" t="n">
        <x:f>J29+K29</x:f>
        <x:v>60793.07321192742</x:v>
      </x:c>
      <x:c r="M29" t="n">
        <x:f>I29*'01_SUPUESTOS'!U4</x:f>
        <x:v>37.89462887632073</x:v>
      </x:c>
      <x:c r="N29" t="n">
        <x:f>E29*'01_SUPUESTOS'!W4</x:f>
        <x:v>1350.168691006386</x:v>
      </x:c>
      <x:c r="O29" t="n">
        <x:f>M29+N29</x:f>
        <x:v>1388.0633198827068</x:v>
      </x:c>
      <x:c r="P29" t="n">
        <x:f>SUM('01_SUPUESTOS'!V4,'01_SUPUESTOS'!X4:AB4)</x:f>
        <x:v>13311.08</x:v>
      </x:c>
      <x:c r="Q29" t="n">
        <x:f>L29-O29-P29</x:f>
        <x:v>46093.92989204471</x:v>
      </x:c>
      <x:c r="R29" t="n">
        <x:f>0</x:f>
        <x:v>0</x:v>
      </x:c>
      <x:c r="S29" t="n">
        <x:f>Q29-R29</x:f>
        <x:v>46093.92989204471</x:v>
      </x:c>
      <x:c r="T29" t="n">
        <x:f>T28+S29</x:f>
        <x:v>549949.6206875712</x:v>
      </x:c>
      <x:c r="U29" t="n">
        <x:f>S29/(1+(1+'01_SUPUESTOS'!AF4)^(1/12)-1)^A29</x:f>
        <x:v>31327.01775457613</x:v>
      </x:c>
      <x:c r="V29" t="n">
        <x:f>IF(Q29&gt;=0,1,0)</x:f>
        <x:v>1</x:v>
      </x:c>
      <x:c r="W29" t="n">
        <x:f>IF(T29&gt;=0,1,0)</x:f>
        <x:v>1</x:v>
      </x:c>
    </x:row>
    <x:row r="30">
      <x:c r="A30" t="n">
        <x:f>29</x:f>
        <x:v>29</x:v>
      </x:c>
      <x:c r="B30" t="n">
        <x:f>B29*(1-'01_SUPUESTOS'!Q4)+'01_SUPUESTOS'!N4</x:f>
        <x:v>20.47153149953753</x:v>
      </x:c>
      <x:c r="C30" t="n">
        <x:f>C29*(1-'01_SUPUESTOS'!Q4)+'01_SUPUESTOS'!O4</x:f>
        <x:v>8.339556457255737</x:v>
      </x:c>
      <x:c r="D30" t="n">
        <x:f>D29*(1-'01_SUPUESTOS'!Q4)+'01_SUPUESTOS'!P4</x:f>
        <x:v>2.0226232453472295</x:v>
      </x:c>
      <x:c r="E30" t="n">
        <x:f>SUM(B30:D30)</x:f>
        <x:v>30.833711202140496</x:v>
      </x:c>
      <x:c r="F30" t="n">
        <x:f>B30*'01_SUPUESTOS'!R4</x:f>
        <x:v>3889.590984912131</x:v>
      </x:c>
      <x:c r="G30" t="n">
        <x:f>C30*'01_SUPUESTOS'!S4</x:f>
        <x:v>7088.622988667376</x:v>
      </x:c>
      <x:c r="H30" t="n">
        <x:f>D30*'01_SUPUESTOS'!T4</x:f>
        <x:v>5258.820437902797</x:v>
      </x:c>
      <x:c r="I30" t="n">
        <x:f>SUM(F30:H30)</x:f>
        <x:v>16237.034411482302</x:v>
      </x:c>
      <x:c r="J30" t="n">
        <x:f>B30*'01_SUPUESTOS'!B4+C30*'01_SUPUESTOS'!C4+D30*'01_SUPUESTOS'!D4</x:f>
        <x:v>51763.72091870257</x:v>
      </x:c>
      <x:c r="K30" t="n">
        <x:f>MAX(F30-B30*'01_SUPUESTOS'!E4,0)*'01_SUPUESTOS'!H4+MAX(G30-C30*'01_SUPUESTOS'!F4,0)*'01_SUPUESTOS'!I4+MAX(H30-D30*'01_SUPUESTOS'!G4,0)*'01_SUPUESTOS'!J4</x:f>
        <x:v>10741.421561105572</x:v>
      </x:c>
      <x:c r="L30" t="n">
        <x:f>J30+K30</x:f>
        <x:v>62505.14247980814</x:v>
      </x:c>
      <x:c r="M30" t="n">
        <x:f>I30*'01_SUPUESTOS'!U4</x:f>
        <x:v>38.96888258755752</x:v>
      </x:c>
      <x:c r="N30" t="n">
        <x:f>E30*'01_SUPUESTOS'!W4</x:f>
        <x:v>1387.5170040963224</x:v>
      </x:c>
      <x:c r="O30" t="n">
        <x:f>M30+N30</x:f>
        <x:v>1426.48588668388</x:v>
      </x:c>
      <x:c r="P30" t="n">
        <x:f>SUM('01_SUPUESTOS'!V4,'01_SUPUESTOS'!X4:AB4)</x:f>
        <x:v>13311.08</x:v>
      </x:c>
      <x:c r="Q30" t="n">
        <x:f>L30-O30-P30</x:f>
        <x:v>47767.576593124264</x:v>
      </x:c>
      <x:c r="R30" t="n">
        <x:f>0</x:f>
        <x:v>0</x:v>
      </x:c>
      <x:c r="S30" t="n">
        <x:f>Q30-R30</x:f>
        <x:v>47767.576593124264</x:v>
      </x:c>
      <x:c r="T30" t="n">
        <x:f>T29+S30</x:f>
        <x:v>597717.1972806955</x:v>
      </x:c>
      <x:c r="U30" t="n">
        <x:f>S30/(1+(1+'01_SUPUESTOS'!AF4)^(1/12)-1)^A30</x:f>
        <x:v>32019.781031904204</x:v>
      </x:c>
      <x:c r="V30" t="n">
        <x:f>IF(Q30&gt;=0,1,0)</x:f>
        <x:v>1</x:v>
      </x:c>
      <x:c r="W30" t="n">
        <x:f>IF(T30&gt;=0,1,0)</x:f>
        <x:v>1</x:v>
      </x:c>
    </x:row>
    <x:row r="31">
      <x:c r="A31" t="n">
        <x:f>30</x:f>
        <x:v>30</x:v>
      </x:c>
      <x:c r="B31" t="n">
        <x:f>B30*(1-'01_SUPUESTOS'!Q4)+'01_SUPUESTOS'!N4</x:f>
        <x:v>21.016816184542154</x:v>
      </x:c>
      <x:c r="C31" t="n">
        <x:f>C30*(1-'01_SUPUESTOS'!Q4)+'01_SUPUESTOS'!O4</x:f>
        <x:v>8.556160892683181</x:v>
      </x:c>
      <x:c r="D31" t="n">
        <x:f>D30*(1-'01_SUPUESTOS'!Q4)+'01_SUPUESTOS'!P4</x:f>
        <x:v>2.0823970128937574</x:v>
      </x:c>
      <x:c r="E31" t="n">
        <x:f>SUM(B31:D31)</x:f>
        <x:v>31.655374090119093</x:v>
      </x:c>
      <x:c r="F31" t="n">
        <x:f>B31*'01_SUPUESTOS'!R4</x:f>
        <x:v>3993.1950750630094</x:v>
      </x:c>
      <x:c r="G31" t="n">
        <x:f>C31*'01_SUPUESTOS'!S4</x:f>
        <x:v>7272.736758780704</x:v>
      </x:c>
      <x:c r="H31" t="n">
        <x:f>D31*'01_SUPUESTOS'!T4</x:f>
        <x:v>5414.2322335237695</x:v>
      </x:c>
      <x:c r="I31" t="n">
        <x:f>SUM(F31:H31)</x:f>
        <x:v>16680.164067367485</x:v>
      </x:c>
      <x:c r="J31" t="n">
        <x:f>B31*'01_SUPUESTOS'!B4+C31*'01_SUPUESTOS'!C4+D31*'01_SUPUESTOS'!D4</x:f>
        <x:v>53171.08370951556</x:v>
      </x:c>
      <x:c r="K31" t="n">
        <x:f>MAX(F31-B31*'01_SUPUESTOS'!E4,0)*'01_SUPUESTOS'!H4+MAX(G31-C31*'01_SUPUESTOS'!F4,0)*'01_SUPUESTOS'!I4+MAX(H31-D31*'01_SUPUESTOS'!G4,0)*'01_SUPUESTOS'!J4</x:f>
        <x:v>11029.007345494523</x:v>
      </x:c>
      <x:c r="L31" t="n">
        <x:f>J31+K31</x:f>
        <x:v>64200.09105501008</x:v>
      </x:c>
      <x:c r="M31" t="n">
        <x:f>I31*'01_SUPUESTOS'!U4</x:f>
        <x:v>40.03239376168196</x:v>
      </x:c>
      <x:c r="N31" t="n">
        <x:f>E31*'01_SUPUESTOS'!W4</x:f>
        <x:v>1424.4918340553593</x:v>
      </x:c>
      <x:c r="O31" t="n">
        <x:f>M31+N31</x:f>
        <x:v>1464.5242278170413</x:v>
      </x:c>
      <x:c r="P31" t="n">
        <x:f>SUM('01_SUPUESTOS'!V4,'01_SUPUESTOS'!X4:AB4)</x:f>
        <x:v>13311.08</x:v>
      </x:c>
      <x:c r="Q31" t="n">
        <x:f>L31-O31-P31</x:f>
        <x:v>49424.48682719304</x:v>
      </x:c>
      <x:c r="R31" t="n">
        <x:f>0</x:f>
        <x:v>0</x:v>
      </x:c>
      <x:c r="S31" t="n">
        <x:f>Q31-R31</x:f>
        <x:v>49424.48682719304</x:v>
      </x:c>
      <x:c r="T31" t="n">
        <x:f>T30+S31</x:f>
        <x:v>647141.6841078886</x:v>
      </x:c>
      <x:c r="U31" t="n">
        <x:f>S31/(1+(1+'01_SUPUESTOS'!AF4)^(1/12)-1)^A31</x:f>
        <x:v>32676.621714855</x:v>
      </x:c>
      <x:c r="V31" t="n">
        <x:f>IF(Q31&gt;=0,1,0)</x:f>
        <x:v>1</x:v>
      </x:c>
      <x:c r="W31" t="n">
        <x:f>IF(T31&gt;=0,1,0)</x:f>
        <x:v>1</x:v>
      </x:c>
    </x:row>
    <x:row r="32">
      <x:c r="A32" t="n">
        <x:f>31</x:f>
        <x:v>31</x:v>
      </x:c>
      <x:c r="B32" t="n">
        <x:f>B31*(1-'01_SUPUESTOS'!Q4)+'01_SUPUESTOS'!N4</x:f>
        <x:v>21.556648022696734</x:v>
      </x:c>
      <x:c r="C32" t="n">
        <x:f>C31*(1-'01_SUPUESTOS'!Q4)+'01_SUPUESTOS'!O4</x:f>
        <x:v>8.770599283756349</x:v>
      </x:c>
      <x:c r="D32" t="n">
        <x:f>D31*(1-'01_SUPUESTOS'!Q4)+'01_SUPUESTOS'!P4</x:f>
        <x:v>2.14157304276482</x:v>
      </x:c>
      <x:c r="E32" t="n">
        <x:f>SUM(B32:D32)</x:f>
        <x:v>32.4688203492179</x:v>
      </x:c>
      <x:c r="F32" t="n">
        <x:f>B32*'01_SUPUESTOS'!R4</x:f>
        <x:v>4095.7631243123797</x:v>
      </x:c>
      <x:c r="G32" t="n">
        <x:f>C32*'01_SUPUESTOS'!S4</x:f>
        <x:v>7455.009391192896</x:v>
      </x:c>
      <x:c r="H32" t="n">
        <x:f>D32*'01_SUPUESTOS'!T4</x:f>
        <x:v>5568.089911188532</x:v>
      </x:c>
      <x:c r="I32" t="n">
        <x:f>SUM(F32:H32)</x:f>
        <x:v>17118.862426693806</x:v>
      </x:c>
      <x:c r="J32" t="n">
        <x:f>B32*'01_SUPUESTOS'!B4+C32*'01_SUPUESTOS'!C4+D32*'01_SUPUESTOS'!D4</x:f>
        <x:v>54564.372872420405</x:v>
      </x:c>
      <x:c r="K32" t="n">
        <x:f>MAX(F32-B32*'01_SUPUESTOS'!E4,0)*'01_SUPUESTOS'!H4+MAX(G32-C32*'01_SUPUESTOS'!F4,0)*'01_SUPUESTOS'!I4+MAX(H32-D32*'01_SUPUESTOS'!G4,0)*'01_SUPUESTOS'!J4</x:f>
        <x:v>11313.717272039574</x:v>
      </x:c>
      <x:c r="L32" t="n">
        <x:f>J32+K32</x:f>
        <x:v>65878.09014445997</x:v>
      </x:c>
      <x:c r="M32" t="n">
        <x:f>I32*'01_SUPUESTOS'!U4</x:f>
        <x:v>41.08526982406513</x:v>
      </x:c>
      <x:c r="N32" t="n">
        <x:f>E32*'01_SUPUESTOS'!W4</x:f>
        <x:v>1461.0969157148054</x:v>
      </x:c>
      <x:c r="O32" t="n">
        <x:f>M32+N32</x:f>
        <x:v>1502.1821855388705</x:v>
      </x:c>
      <x:c r="P32" t="n">
        <x:f>SUM('01_SUPUESTOS'!V4,'01_SUPUESTOS'!X4:AB4)</x:f>
        <x:v>13311.08</x:v>
      </x:c>
      <x:c r="Q32" t="n">
        <x:f>L32-O32-P32</x:f>
        <x:v>51064.8279589211</x:v>
      </x:c>
      <x:c r="R32" t="n">
        <x:f>0</x:f>
        <x:v>0</x:v>
      </x:c>
      <x:c r="S32" t="n">
        <x:f>Q32-R32</x:f>
        <x:v>51064.8279589211</x:v>
      </x:c>
      <x:c r="T32" t="n">
        <x:f>T31+S32</x:f>
        <x:v>698206.5120668097</x:v>
      </x:c>
      <x:c r="U32" t="n">
        <x:f>S32/(1+(1+'01_SUPUESTOS'!AF4)^(1/12)-1)^A32</x:f>
        <x:v>33298.65467089089</x:v>
      </x:c>
      <x:c r="V32" t="n">
        <x:f>IF(Q32&gt;=0,1,0)</x:f>
        <x:v>1</x:v>
      </x:c>
      <x:c r="W32" t="n">
        <x:f>IF(T32&gt;=0,1,0)</x:f>
        <x:v>1</x:v>
      </x:c>
    </x:row>
    <x:row r="33">
      <x:c r="A33" t="n">
        <x:f>32</x:f>
        <x:v>32</x:v>
      </x:c>
      <x:c r="B33" t="n">
        <x:f>B32*(1-'01_SUPUESTOS'!Q4)+'01_SUPUESTOS'!N4</x:f>
        <x:v>22.091081542469766</x:v>
      </x:c>
      <x:c r="C33" t="n">
        <x:f>C32*(1-'01_SUPUESTOS'!Q4)+'01_SUPUESTOS'!O4</x:f>
        <x:v>8.982893290918787</x:v>
      </x:c>
      <x:c r="D33" t="n">
        <x:f>D32*(1-'01_SUPUESTOS'!Q4)+'01_SUPUESTOS'!P4</x:f>
        <x:v>2.2001573123371716</x:v>
      </x:c>
      <x:c r="E33" t="n">
        <x:f>SUM(B33:D33)</x:f>
        <x:v>33.27413214572572</x:v>
      </x:c>
      <x:c r="F33" t="n">
        <x:f>B33*'01_SUPUESTOS'!R4</x:f>
        <x:v>4197.305493069255</x:v>
      </x:c>
      <x:c r="G33" t="n">
        <x:f>C33*'01_SUPUESTOS'!S4</x:f>
        <x:v>7635.459297280969</x:v>
      </x:c>
      <x:c r="H33" t="n">
        <x:f>D33*'01_SUPUESTOS'!T4</x:f>
        <x:v>5720.409012076646</x:v>
      </x:c>
      <x:c r="I33" t="n">
        <x:f>SUM(F33:H33)</x:f>
        <x:v>17553.17380242687</x:v>
      </x:c>
      <x:c r="J33" t="n">
        <x:f>B33*'01_SUPUESTOS'!B4+C33*'01_SUPUESTOS'!C4+D33*'01_SUPUESTOS'!D4</x:f>
        <x:v>55943.7291436962</x:v>
      </x:c>
      <x:c r="K33" t="n">
        <x:f>MAX(F33-B33*'01_SUPUESTOS'!E4,0)*'01_SUPUESTOS'!H4+MAX(G33-C33*'01_SUPUESTOS'!F4,0)*'01_SUPUESTOS'!I4+MAX(H33-D33*'01_SUPUESTOS'!G4,0)*'01_SUPUESTOS'!J4</x:f>
        <x:v>11595.580099319175</x:v>
      </x:c>
      <x:c r="L33" t="n">
        <x:f>J33+K33</x:f>
        <x:v>67539.30924301538</x:v>
      </x:c>
      <x:c r="M33" t="n">
        <x:f>I33*'01_SUPUESTOS'!U4</x:f>
        <x:v>42.127617125824486</x:v>
      </x:c>
      <x:c r="N33" t="n">
        <x:f>E33*'01_SUPUESTOS'!W4</x:f>
        <x:v>1497.3359465576575</x:v>
      </x:c>
      <x:c r="O33" t="n">
        <x:f>M33+N33</x:f>
        <x:v>1539.4635636834819</x:v>
      </x:c>
      <x:c r="P33" t="n">
        <x:f>SUM('01_SUPUESTOS'!V4,'01_SUPUESTOS'!X4:AB4)</x:f>
        <x:v>13311.08</x:v>
      </x:c>
      <x:c r="Q33" t="n">
        <x:f>L33-O33-P33</x:f>
        <x:v>52688.76567933189</x:v>
      </x:c>
      <x:c r="R33" t="n">
        <x:f>0</x:f>
        <x:v>0</x:v>
      </x:c>
      <x:c r="S33" t="n">
        <x:f>Q33-R33</x:f>
        <x:v>52688.76567933189</x:v>
      </x:c>
      <x:c r="T33" t="n">
        <x:f>T32+S33</x:f>
        <x:v>750895.2777461415</x:v>
      </x:c>
      <x:c r="U33" t="n">
        <x:f>S33/(1+(1+'01_SUPUESTOS'!AF4)^(1/12)-1)^A33</x:f>
        <x:v>33886.96482205918</x:v>
      </x:c>
      <x:c r="V33" t="n">
        <x:f>IF(Q33&gt;=0,1,0)</x:f>
        <x:v>1</x:v>
      </x:c>
      <x:c r="W33" t="n">
        <x:f>IF(T33&gt;=0,1,0)</x:f>
        <x:v>1</x:v>
      </x:c>
    </x:row>
    <x:row r="34">
      <x:c r="A34" t="n">
        <x:f>33</x:f>
        <x:v>33</x:v>
      </x:c>
      <x:c r="B34" t="n">
        <x:f>B33*(1-'01_SUPUESTOS'!Q4)+'01_SUPUESTOS'!N4</x:f>
        <x:v>22.620170727045068</x:v>
      </x:c>
      <x:c r="C34" t="n">
        <x:f>C33*(1-'01_SUPUESTOS'!Q4)+'01_SUPUESTOS'!O4</x:f>
        <x:v>9.193064358009599</x:v>
      </x:c>
      <x:c r="D34" t="n">
        <x:f>D33*(1-'01_SUPUESTOS'!Q4)+'01_SUPUESTOS'!P4</x:f>
        <x:v>2.2581557392138</x:v>
      </x:c>
      <x:c r="E34" t="n">
        <x:f>SUM(B34:D34)</x:f>
        <x:v>34.07139082426846</x:v>
      </x:c>
      <x:c r="F34" t="n">
        <x:f>B34*'01_SUPUESTOS'!R4</x:f>
        <x:v>4297.832438138563</x:v>
      </x:c>
      <x:c r="G34" t="n">
        <x:f>C34*'01_SUPUESTOS'!S4</x:f>
        <x:v>7814.104704308159</x:v>
      </x:c>
      <x:c r="H34" t="n">
        <x:f>D34*'01_SUPUESTOS'!T4</x:f>
        <x:v>5871.204921955879</x:v>
      </x:c>
      <x:c r="I34" t="n">
        <x:f>SUM(F34:H34)</x:f>
        <x:v>17983.1420644026</x:v>
      </x:c>
      <x:c r="J34" t="n">
        <x:f>B34*'01_SUPUESTOS'!B4+C34*'01_SUPUESTOS'!C4+D34*'01_SUPUESTOS'!D4</x:f>
        <x:v>57309.29185225924</x:v>
      </x:c>
      <x:c r="K34" t="n">
        <x:f>MAX(F34-B34*'01_SUPUESTOS'!E4,0)*'01_SUPUESTOS'!H4+MAX(G34-C34*'01_SUPUESTOS'!F4,0)*'01_SUPUESTOS'!I4+MAX(H34-D34*'01_SUPUESTOS'!G4,0)*'01_SUPUESTOS'!J4</x:f>
        <x:v>11874.624298325984</x:v>
      </x:c>
      <x:c r="L34" t="n">
        <x:f>J34+K34</x:f>
        <x:v>69183.91615058522</x:v>
      </x:c>
      <x:c r="M34" t="n">
        <x:f>I34*'01_SUPUESTOS'!U4</x:f>
        <x:v>43.15954095456624</x:v>
      </x:c>
      <x:c r="N34" t="n">
        <x:f>E34*'01_SUPUESTOS'!W4</x:f>
        <x:v>1533.2125870920809</x:v>
      </x:c>
      <x:c r="O34" t="n">
        <x:f>M34+N34</x:f>
        <x:v>1576.372128046647</x:v>
      </x:c>
      <x:c r="P34" t="n">
        <x:f>SUM('01_SUPUESTOS'!V4,'01_SUPUESTOS'!X4:AB4)</x:f>
        <x:v>13311.08</x:v>
      </x:c>
      <x:c r="Q34" t="n">
        <x:f>L34-O34-P34</x:f>
        <x:v>54296.46402253858</x:v>
      </x:c>
      <x:c r="R34" t="n">
        <x:f>0</x:f>
        <x:v>0</x:v>
      </x:c>
      <x:c r="S34" t="n">
        <x:f>Q34-R34</x:f>
        <x:v>54296.46402253858</x:v>
      </x:c>
      <x:c r="T34" t="n">
        <x:f>T33+S34</x:f>
        <x:v>805191.7417686802</x:v>
      </x:c>
      <x:c r="U34" t="n">
        <x:f>S34/(1+(1+'01_SUPUESTOS'!AF4)^(1/12)-1)^A34</x:f>
        <x:v>34442.607900921124</x:v>
      </x:c>
      <x:c r="V34" t="n">
        <x:f>IF(Q34&gt;=0,1,0)</x:f>
        <x:v>1</x:v>
      </x:c>
      <x:c r="W34" t="n">
        <x:f>IF(T34&gt;=0,1,0)</x:f>
        <x:v>1</x:v>
      </x:c>
    </x:row>
    <x:row r="35">
      <x:c r="A35" t="n">
        <x:f>34</x:f>
        <x:v>34</x:v>
      </x:c>
      <x:c r="B35" t="n">
        <x:f>B34*(1-'01_SUPUESTOS'!Q4)+'01_SUPUESTOS'!N4</x:f>
        <x:v>23.143969019774616</x:v>
      </x:c>
      <x:c r="C35" t="n">
        <x:f>C34*(1-'01_SUPUESTOS'!Q4)+'01_SUPUESTOS'!O4</x:f>
        <x:v>9.401133714429504</x:v>
      </x:c>
      <x:c r="D35" t="n">
        <x:f>D34*(1-'01_SUPUESTOS'!Q4)+'01_SUPUESTOS'!P4</x:f>
        <x:v>2.315574181821662</x:v>
      </x:c>
      <x:c r="E35" t="n">
        <x:f>SUM(B35:D35)</x:f>
        <x:v>34.86067691602578</x:v>
      </x:c>
      <x:c r="F35" t="n">
        <x:f>B35*'01_SUPUESTOS'!R4</x:f>
        <x:v>4397.354113757177</x:v>
      </x:c>
      <x:c r="G35" t="n">
        <x:f>C35*'01_SUPUESTOS'!S4</x:f>
        <x:v>7990.963657265078</x:v>
      </x:c>
      <x:c r="H35" t="n">
        <x:f>D35*'01_SUPUESTOS'!T4</x:f>
        <x:v>6020.492872736321</x:v>
      </x:c>
      <x:c r="I35" t="n">
        <x:f>SUM(F35:H35)</x:f>
        <x:v>18408.810643758577</x:v>
      </x:c>
      <x:c r="J35" t="n">
        <x:f>B35*'01_SUPUESTOS'!B4+C35*'01_SUPUESTOS'!C4+D35*'01_SUPUESTOS'!D4</x:f>
        <x:v>58661.19893373665</x:v>
      </x:c>
      <x:c r="K35" t="n">
        <x:f>MAX(F35-B35*'01_SUPUESTOS'!E4,0)*'01_SUPUESTOS'!H4+MAX(G35-C35*'01_SUPUESTOS'!F4,0)*'01_SUPUESTOS'!I4+MAX(H35-D35*'01_SUPUESTOS'!G4,0)*'01_SUPUESTOS'!J4</x:f>
        <x:v>12150.87805534272</x:v>
      </x:c>
      <x:c r="L35" t="n">
        <x:f>J35+K35</x:f>
        <x:v>70812.07698907936</x:v>
      </x:c>
      <x:c r="M35" t="n">
        <x:f>I35*'01_SUPUESTOS'!U4</x:f>
        <x:v>44.181145545020584</x:v>
      </x:c>
      <x:c r="N35" t="n">
        <x:f>E35*'01_SUPUESTOS'!W4</x:f>
        <x:v>1568.73046122116</x:v>
      </x:c>
      <x:c r="O35" t="n">
        <x:f>M35+N35</x:f>
        <x:v>1612.9116067661807</x:v>
      </x:c>
      <x:c r="P35" t="n">
        <x:f>SUM('01_SUPUESTOS'!V4,'01_SUPUESTOS'!X4:AB4)</x:f>
        <x:v>13311.08</x:v>
      </x:c>
      <x:c r="Q35" t="n">
        <x:f>L35-O35-P35</x:f>
        <x:v>55888.08538231318</x:v>
      </x:c>
      <x:c r="R35" t="n">
        <x:f>0</x:f>
        <x:v>0</x:v>
      </x:c>
      <x:c r="S35" t="n">
        <x:f>Q35-R35</x:f>
        <x:v>55888.08538231318</x:v>
      </x:c>
      <x:c r="T35" t="n">
        <x:f>T34+S35</x:f>
        <x:v>861079.8271509933</x:v>
      </x:c>
      <x:c r="U35" t="n">
        <x:f>S35/(1+(1+'01_SUPUESTOS'!AF4)^(1/12)-1)^A35</x:f>
        <x:v>34966.61118798041</x:v>
      </x:c>
      <x:c r="V35" t="n">
        <x:f>IF(Q35&gt;=0,1,0)</x:f>
        <x:v>1</x:v>
      </x:c>
      <x:c r="W35" t="n">
        <x:f>IF(T35&gt;=0,1,0)</x:f>
        <x:v>1</x:v>
      </x:c>
    </x:row>
    <x:row r="36">
      <x:c r="A36" t="n">
        <x:f>35</x:f>
        <x:v>35</x:v>
      </x:c>
      <x:c r="B36" t="n">
        <x:f>B35*(1-'01_SUPUESTOS'!Q4)+'01_SUPUESTOS'!N4</x:f>
        <x:v>23.66252932957687</x:v>
      </x:c>
      <x:c r="C36" t="n">
        <x:f>C35*(1-'01_SUPUESTOS'!Q4)+'01_SUPUESTOS'!O4</x:f>
        <x:v>9.60712237728521</x:v>
      </x:c>
      <x:c r="D36" t="n">
        <x:f>D35*(1-'01_SUPUESTOS'!Q4)+'01_SUPUESTOS'!P4</x:f>
        <x:v>2.3724184400034454</x:v>
      </x:c>
      <x:c r="E36" t="n">
        <x:f>SUM(B36:D36)</x:f>
        <x:v>35.64207014686552</x:v>
      </x:c>
      <x:c r="F36" t="n">
        <x:f>B36*'01_SUPUESTOS'!R4</x:f>
        <x:v>4495.880572619605</x:v>
      </x:c>
      <x:c r="G36" t="n">
        <x:f>C36*'01_SUPUESTOS'!S4</x:f>
        <x:v>8166.054020692428</x:v>
      </x:c>
      <x:c r="H36" t="n">
        <x:f>D36*'01_SUPUESTOS'!T4</x:f>
        <x:v>6168.287944008958</x:v>
      </x:c>
      <x:c r="I36" t="n">
        <x:f>SUM(F36:H36)</x:f>
        <x:v>18830.22253732099</x:v>
      </x:c>
      <x:c r="J36" t="n">
        <x:f>B36*'01_SUPUESTOS'!B4+C36*'01_SUPUESTOS'!C4+D36*'01_SUPUESTOS'!D4</x:f>
        <x:v>59999.586944399285</x:v>
      </x:c>
      <x:c r="K36" t="n">
        <x:f>MAX(F36-B36*'01_SUPUESTOS'!E4,0)*'01_SUPUESTOS'!H4+MAX(G36-C36*'01_SUPUESTOS'!F4,0)*'01_SUPUESTOS'!I4+MAX(H36-D36*'01_SUPUESTOS'!G4,0)*'01_SUPUESTOS'!J4</x:f>
        <x:v>12424.369274789298</x:v>
      </x:c>
      <x:c r="L36" t="n">
        <x:f>J36+K36</x:f>
        <x:v>72423.95621918858</x:v>
      </x:c>
      <x:c r="M36" t="n">
        <x:f>I36*'01_SUPUESTOS'!U4</x:f>
        <x:v>45.19253408957037</x:v>
      </x:c>
      <x:c r="N36" t="n">
        <x:f>E36*'01_SUPUESTOS'!W4</x:f>
        <x:v>1603.8931566089484</x:v>
      </x:c>
      <x:c r="O36" t="n">
        <x:f>M36+N36</x:f>
        <x:v>1649.0856906985189</x:v>
      </x:c>
      <x:c r="P36" t="n">
        <x:f>SUM('01_SUPUESTOS'!V4,'01_SUPUESTOS'!X4:AB4)</x:f>
        <x:v>13311.08</x:v>
      </x:c>
      <x:c r="Q36" t="n">
        <x:f>L36-O36-P36</x:f>
        <x:v>57463.79052849006</x:v>
      </x:c>
      <x:c r="R36" t="n">
        <x:f>0</x:f>
        <x:v>0</x:v>
      </x:c>
      <x:c r="S36" t="n">
        <x:f>Q36-R36</x:f>
        <x:v>57463.79052849006</x:v>
      </x:c>
      <x:c r="T36" t="n">
        <x:f>T35+S36</x:f>
        <x:v>918543.6176794834</x:v>
      </x:c>
      <x:c r="U36" t="n">
        <x:f>S36/(1+(1+'01_SUPUESTOS'!AF4)^(1/12)-1)^A36</x:f>
        <x:v>35459.97423105627</x:v>
      </x:c>
      <x:c r="V36" t="n">
        <x:f>IF(Q36&gt;=0,1,0)</x:f>
        <x:v>1</x:v>
      </x:c>
      <x:c r="W36" t="n">
        <x:f>IF(T36&gt;=0,1,0)</x:f>
        <x:v>1</x:v>
      </x:c>
    </x:row>
    <x:row r="37">
      <x:c r="A37" t="n">
        <x:f>36</x:f>
        <x:v>36</x:v>
      </x:c>
      <x:c r="B37" t="n">
        <x:f>B36*(1-'01_SUPUESTOS'!Q4)+'01_SUPUESTOS'!N4</x:f>
        <x:v>24.1759040362811</x:v>
      </x:c>
      <x:c r="C37" t="n">
        <x:f>C36*(1-'01_SUPUESTOS'!Q4)+'01_SUPUESTOS'!O4</x:f>
        <x:v>9.811051153512357</x:v>
      </x:c>
      <x:c r="D37" t="n">
        <x:f>D36*(1-'01_SUPUESTOS'!Q4)+'01_SUPUESTOS'!P4</x:f>
        <x:v>2.428694255603411</x:v>
      </x:c>
      <x:c r="E37" t="n">
        <x:f>SUM(B37:D37)</x:f>
        <x:v>36.415649445396866</x:v>
      </x:c>
      <x:c r="F37" t="n">
        <x:f>B37*'01_SUPUESTOS'!R4</x:f>
        <x:v>4593.421766893409</x:v>
      </x:c>
      <x:c r="G37" t="n">
        <x:f>C37*'01_SUPUESTOS'!S4</x:f>
        <x:v>8339.393480485503</x:v>
      </x:c>
      <x:c r="H37" t="n">
        <x:f>D37*'01_SUPUESTOS'!T4</x:f>
        <x:v>6314.605064568868</x:v>
      </x:c>
      <x:c r="I37" t="n">
        <x:f>SUM(F37:H37)</x:f>
        <x:v>19247.420311947782</x:v>
      </x:c>
      <x:c r="J37" t="n">
        <x:f>B37*'01_SUPUESTOS'!B4+C37*'01_SUPUESTOS'!C4+D37*'01_SUPUESTOS'!D4</x:f>
        <x:v>61324.591074955286</x:v>
      </x:c>
      <x:c r="K37" t="n">
        <x:f>MAX(F37-B37*'01_SUPUESTOS'!E4,0)*'01_SUPUESTOS'!H4+MAX(G37-C37*'01_SUPUESTOS'!F4,0)*'01_SUPUESTOS'!I4+MAX(H37-D37*'01_SUPUESTOS'!G4,0)*'01_SUPUESTOS'!J4</x:f>
        <x:v>12695.1255820414</x:v>
      </x:c>
      <x:c r="L37" t="n">
        <x:f>J37+K37</x:f>
        <x:v>74019.7166569967</x:v>
      </x:c>
      <x:c r="M37" t="n">
        <x:f>I37*'01_SUPUESTOS'!U4</x:f>
        <x:v>46.19380874867468</x:v>
      </x:c>
      <x:c r="N37" t="n">
        <x:f>E37*'01_SUPUESTOS'!W4</x:f>
        <x:v>1638.704225042859</x:v>
      </x:c>
      <x:c r="O37" t="n">
        <x:f>M37+N37</x:f>
        <x:v>1684.8980337915336</x:v>
      </x:c>
      <x:c r="P37" t="n">
        <x:f>SUM('01_SUPUESTOS'!V4,'01_SUPUESTOS'!X4:AB4)</x:f>
        <x:v>13311.08</x:v>
      </x:c>
      <x:c r="Q37" t="n">
        <x:f>L37-O37-P37</x:f>
        <x:v>59023.738623205165</x:v>
      </x:c>
      <x:c r="R37" t="n">
        <x:f>0</x:f>
        <x:v>0</x:v>
      </x:c>
      <x:c r="S37" t="n">
        <x:f>Q37-R37</x:f>
        <x:v>59023.738623205165</x:v>
      </x:c>
      <x:c r="T37" t="n">
        <x:f>T36+S37</x:f>
        <x:v>977567.3563026886</x:v>
      </x:c>
      <x:c r="U37" t="n">
        <x:f>S37/(1+(1+'01_SUPUESTOS'!AF4)^(1/12)-1)^A37</x:f>
        <x:v>35923.669547035846</x:v>
      </x:c>
      <x:c r="V37" t="n">
        <x:f>IF(Q37&gt;=0,1,0)</x:f>
        <x:v>1</x:v>
      </x:c>
      <x:c r="W37" t="n">
        <x:f>IF(T37&gt;=0,1,0)</x:f>
        <x:v>1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2" hidden="0" customWidth="1"/>
  </x:cols>
  <x:sheetData>
    <x:row r="1">
      <x:c r="A1" s="6" t="str">
        <x:v>Mes</x:v>
      </x:c>
      <x:c r="B1" s="6" t="str">
        <x:v>Clientes S</x:v>
      </x:c>
      <x:c r="C1" s="6" t="str">
        <x:v>Clientes P</x:v>
      </x:c>
      <x:c r="D1" s="6" t="str">
        <x:v>Clientes E</x:v>
      </x:c>
      <x:c r="E1" s="6" t="str">
        <x:v>Clientes Total</x:v>
      </x:c>
      <x:c r="F1" s="6" t="str">
        <x:v>Estudios S</x:v>
      </x:c>
      <x:c r="G1" s="6" t="str">
        <x:v>Estudios P</x:v>
      </x:c>
      <x:c r="H1" s="6" t="str">
        <x:v>Estudios E</x:v>
      </x:c>
      <x:c r="I1" s="6" t="str">
        <x:v>Estudios Total</x:v>
      </x:c>
      <x:c r="J1" s="6" t="str">
        <x:v>Suscripciones</x:v>
      </x:c>
      <x:c r="K1" s="6" t="str">
        <x:v>Excedentes</x:v>
      </x:c>
      <x:c r="L1" s="6" t="str">
        <x:v>Ingresos</x:v>
      </x:c>
      <x:c r="M1" s="6" t="str">
        <x:v>Cloud variable</x:v>
      </x:c>
      <x:c r="N1" s="6" t="str">
        <x:v>Soporte variable</x:v>
      </x:c>
      <x:c r="O1" s="6" t="str">
        <x:v>Variables total</x:v>
      </x:c>
      <x:c r="P1" s="6" t="str">
        <x:v>Fijos total</x:v>
      </x:c>
      <x:c r="Q1" s="6" t="str">
        <x:v>Operativo</x:v>
      </x:c>
      <x:c r="R1" s="6" t="str">
        <x:v>CAPEX</x:v>
      </x:c>
      <x:c r="S1" s="6" t="str">
        <x:v>Flujo neto</x:v>
      </x:c>
      <x:c r="T1" s="6" t="str">
        <x:v>Acumulado</x:v>
      </x:c>
      <x:c r="U1" s="6" t="str">
        <x:v>Flujo descontado</x:v>
      </x:c>
      <x:c r="V1" t="str">
        <x:v>Equilibrio flag</x:v>
      </x:c>
      <x:c r="W1" t="str">
        <x:v>Payback flag</x:v>
      </x:c>
    </x:row>
    <x:row r="2">
      <x:c r="A2" t="n">
        <x:f>1</x:f>
        <x:v>1</x:v>
      </x:c>
      <x:c r="B2" t="n">
        <x:f>'01_SUPUESTOS'!K5+'01_SUPUESTOS'!N5</x:f>
        <x:v>1.35</x:v>
      </x:c>
      <x:c r="C2" t="n">
        <x:f>'01_SUPUESTOS'!L5+'01_SUPUESTOS'!O5</x:f>
        <x:v>0.12</x:v>
      </x:c>
      <x:c r="D2" t="n">
        <x:f>'01_SUPUESTOS'!M5+'01_SUPUESTOS'!P5</x:f>
        <x:v>0.03</x:v>
      </x:c>
      <x:c r="E2" t="n">
        <x:f>SUM(B2:D2)</x:f>
        <x:v>1.5000000000000002</x:v>
      </x:c>
      <x:c r="F2" t="n">
        <x:f>B2*'01_SUPUESTOS'!R5</x:f>
        <x:v>175.5</x:v>
      </x:c>
      <x:c r="G2" t="n">
        <x:f>C2*'01_SUPUESTOS'!S5</x:f>
        <x:v>66</x:v>
      </x:c>
      <x:c r="H2" t="n">
        <x:f>D2*'01_SUPUESTOS'!T5</x:f>
        <x:v>48</x:v>
      </x:c>
      <x:c r="I2" t="n">
        <x:f>SUM(F2:H2)</x:f>
        <x:v>289.5</x:v>
      </x:c>
      <x:c r="J2" t="n">
        <x:f>B2*'01_SUPUESTOS'!B5+C2*'01_SUPUESTOS'!C5+D2*'01_SUPUESTOS'!D5</x:f>
        <x:v>1323</x:v>
      </x:c>
      <x:c r="K2" t="n">
        <x:f>MAX(F2-B2*'01_SUPUESTOS'!E5,0)*'01_SUPUESTOS'!H5+MAX(G2-C2*'01_SUPUESTOS'!F5,0)*'01_SUPUESTOS'!I5+MAX(H2-D2*'01_SUPUESTOS'!G5,0)*'01_SUPUESTOS'!J5</x:f>
        <x:v>177</x:v>
      </x:c>
      <x:c r="L2" t="n">
        <x:f>J2+K2</x:f>
        <x:v>1500</x:v>
      </x:c>
      <x:c r="M2" t="n">
        <x:f>I2*'01_SUPUESTOS'!U5</x:f>
        <x:v>1.93965</x:v>
      </x:c>
      <x:c r="N2" t="n">
        <x:f>E2*'01_SUPUESTOS'!W5</x:f>
        <x:v>90.00000000000001</x:v>
      </x:c>
      <x:c r="O2" t="n">
        <x:f>M2+N2</x:f>
        <x:v>91.93965000000001</x:v>
      </x:c>
      <x:c r="P2" t="n">
        <x:f>SUM('01_SUPUESTOS'!V5,'01_SUPUESTOS'!X5:AB5)</x:f>
        <x:v>8112.08</x:v>
      </x:c>
      <x:c r="Q2" t="n">
        <x:f>L2-O2-P2</x:f>
        <x:v>-6704.01965</x:v>
      </x:c>
      <x:c r="R2" t="n">
        <x:f>SUM('01_SUPUESTOS'!AC5:AE5)</x:f>
        <x:v>23000</x:v>
      </x:c>
      <x:c r="S2" t="n">
        <x:f>Q2-R2</x:f>
        <x:v>-29704.019650000002</x:v>
      </x:c>
      <x:c r="T2" t="n">
        <x:f>S2</x:f>
        <x:v>-29704.019650000002</x:v>
      </x:c>
      <x:c r="U2" t="n">
        <x:f>S2/(1+(1+'01_SUPUESTOS'!AF5)^(1/12)-1)^A2</x:f>
        <x:v>-29156.768531348738</x:v>
      </x:c>
      <x:c r="V2" t="n">
        <x:f>IF(Q2&gt;=0,1,0)</x:f>
        <x:v>0</x:v>
      </x:c>
      <x:c r="W2" t="n">
        <x:f>IF(T2&gt;=0,1,0)</x:f>
        <x:v>0</x:v>
      </x:c>
    </x:row>
    <x:row r="3">
      <x:c r="A3" t="n">
        <x:f>2</x:f>
        <x:v>2</x:v>
      </x:c>
      <x:c r="B3" t="n">
        <x:f>B2*(1-'01_SUPUESTOS'!Q5)+'01_SUPUESTOS'!N5</x:f>
        <x:v>1.673</x:v>
      </x:c>
      <x:c r="C3" t="n">
        <x:f>C2*(1-'01_SUPUESTOS'!Q5)+'01_SUPUESTOS'!O5</x:f>
        <x:v>0.23759999999999998</x:v>
      </x:c>
      <x:c r="D3" t="n">
        <x:f>D2*(1-'01_SUPUESTOS'!Q5)+'01_SUPUESTOS'!P5</x:f>
        <x:v>0.059399999999999994</x:v>
      </x:c>
      <x:c r="E3" t="n">
        <x:f>SUM(B3:D3)</x:f>
        <x:v>1.97</x:v>
      </x:c>
      <x:c r="F3" t="n">
        <x:f>B3*'01_SUPUESTOS'!R5</x:f>
        <x:v>217.49</x:v>
      </x:c>
      <x:c r="G3" t="n">
        <x:f>C3*'01_SUPUESTOS'!S5</x:f>
        <x:v>130.67999999999998</x:v>
      </x:c>
      <x:c r="H3" t="n">
        <x:f>D3*'01_SUPUESTOS'!T5</x:f>
        <x:v>95.03999999999999</x:v>
      </x:c>
      <x:c r="I3" t="n">
        <x:f>SUM(F3:H3)</x:f>
        <x:v>443.2099999999999</x:v>
      </x:c>
      <x:c r="J3" t="n">
        <x:f>B3*'01_SUPUESTOS'!B5+C3*'01_SUPUESTOS'!C5+D3*'01_SUPUESTOS'!D5</x:f>
        <x:v>1919.54</x:v>
      </x:c>
      <x:c r="K3" t="n">
        <x:f>MAX(F3-B3*'01_SUPUESTOS'!E5,0)*'01_SUPUESTOS'!H5+MAX(G3-C3*'01_SUPUESTOS'!F5,0)*'01_SUPUESTOS'!I5+MAX(H3-D3*'01_SUPUESTOS'!G5,0)*'01_SUPUESTOS'!J5</x:f>
        <x:v>260.46000000000015</x:v>
      </x:c>
      <x:c r="L3" t="n">
        <x:f>J3+K3</x:f>
        <x:v>2180</x:v>
      </x:c>
      <x:c r="M3" t="n">
        <x:f>I3*'01_SUPUESTOS'!U5</x:f>
        <x:v>2.9695069999999997</x:v>
      </x:c>
      <x:c r="N3" t="n">
        <x:f>E3*'01_SUPUESTOS'!W5</x:f>
        <x:v>118.2</x:v>
      </x:c>
      <x:c r="O3" t="n">
        <x:f>M3+N3</x:f>
        <x:v>121.169507</x:v>
      </x:c>
      <x:c r="P3" t="n">
        <x:f>SUM('01_SUPUESTOS'!V5,'01_SUPUESTOS'!X5:AB5)</x:f>
        <x:v>8112.08</x:v>
      </x:c>
      <x:c r="Q3" t="n">
        <x:f>L3-O3-P3</x:f>
        <x:v>-6053.249507</x:v>
      </x:c>
      <x:c r="R3" t="n">
        <x:f>0</x:f>
        <x:v>0</x:v>
      </x:c>
      <x:c r="S3" t="n">
        <x:f>Q3-R3</x:f>
        <x:v>-6053.249507</x:v>
      </x:c>
      <x:c r="T3" t="n">
        <x:f>T2+S3</x:f>
        <x:v>-35757.269157</x:v>
      </x:c>
      <x:c r="U3" t="n">
        <x:f>S3/(1+(1+'01_SUPUESTOS'!AF5)^(1/12)-1)^A3</x:f>
        <x:v>-5832.26040376513</x:v>
      </x:c>
      <x:c r="V3" t="n">
        <x:f>IF(Q3&gt;=0,1,0)</x:f>
        <x:v>0</x:v>
      </x:c>
      <x:c r="W3" t="n">
        <x:f>IF(T3&gt;=0,1,0)</x:f>
        <x:v>0</x:v>
      </x:c>
    </x:row>
    <x:row r="4">
      <x:c r="A4" t="n">
        <x:f>3</x:f>
        <x:v>3</x:v>
      </x:c>
      <x:c r="B4" t="n">
        <x:f>B3*(1-'01_SUPUESTOS'!Q5)+'01_SUPUESTOS'!N5</x:f>
        <x:v>1.9895399999999999</x:v>
      </x:c>
      <x:c r="C4" t="n">
        <x:f>C3*(1-'01_SUPUESTOS'!Q5)+'01_SUPUESTOS'!O5</x:f>
        <x:v>0.35284799999999994</x:v>
      </x:c>
      <x:c r="D4" t="n">
        <x:f>D3*(1-'01_SUPUESTOS'!Q5)+'01_SUPUESTOS'!P5</x:f>
        <x:v>0.08821199999999998</x:v>
      </x:c>
      <x:c r="E4" t="n">
        <x:f>SUM(B4:D4)</x:f>
        <x:v>2.4305999999999996</x:v>
      </x:c>
      <x:c r="F4" t="n">
        <x:f>B4*'01_SUPUESTOS'!R5</x:f>
        <x:v>258.6402</x:v>
      </x:c>
      <x:c r="G4" t="n">
        <x:f>C4*'01_SUPUESTOS'!S5</x:f>
        <x:v>194.06639999999996</x:v>
      </x:c>
      <x:c r="H4" t="n">
        <x:f>D4*'01_SUPUESTOS'!T5</x:f>
        <x:v>141.1392</x:v>
      </x:c>
      <x:c r="I4" t="n">
        <x:f>SUM(F4:H4)</x:f>
        <x:v>593.8457999999999</x:v>
      </x:c>
      <x:c r="J4" t="n">
        <x:f>B4*'01_SUPUESTOS'!B5+C4*'01_SUPUESTOS'!C5+D4*'01_SUPUESTOS'!D5</x:f>
        <x:v>2504.1492</x:v>
      </x:c>
      <x:c r="K4" t="n">
        <x:f>MAX(F4-B4*'01_SUPUESTOS'!E5,0)*'01_SUPUESTOS'!H5+MAX(G4-C4*'01_SUPUESTOS'!F5,0)*'01_SUPUESTOS'!I5+MAX(H4-D4*'01_SUPUESTOS'!G5,0)*'01_SUPUESTOS'!J5</x:f>
        <x:v>342.25079999999986</x:v>
      </x:c>
      <x:c r="L4" t="n">
        <x:f>J4+K4</x:f>
        <x:v>2846.3999999999996</x:v>
      </x:c>
      <x:c r="M4" t="n">
        <x:f>I4*'01_SUPUESTOS'!U5</x:f>
        <x:v>3.97876686</x:v>
      </x:c>
      <x:c r="N4" t="n">
        <x:f>E4*'01_SUPUESTOS'!W5</x:f>
        <x:v>145.83599999999998</x:v>
      </x:c>
      <x:c r="O4" t="n">
        <x:f>M4+N4</x:f>
        <x:v>149.81476686</x:v>
      </x:c>
      <x:c r="P4" t="n">
        <x:f>SUM('01_SUPUESTOS'!V5,'01_SUPUESTOS'!X5:AB5)</x:f>
        <x:v>8112.08</x:v>
      </x:c>
      <x:c r="Q4" t="n">
        <x:f>L4-O4-P4</x:f>
        <x:v>-5415.49476686</x:v>
      </x:c>
      <x:c r="R4" t="n">
        <x:f>0</x:f>
        <x:v>0</x:v>
      </x:c>
      <x:c r="S4" t="n">
        <x:f>Q4-R4</x:f>
        <x:v>-5415.49476686</x:v>
      </x:c>
      <x:c r="T4" t="n">
        <x:f>T3+S4</x:f>
        <x:v>-41172.76392386</x:v>
      </x:c>
      <x:c r="U4" t="n">
        <x:f>S4/(1+(1+'01_SUPUESTOS'!AF5)^(1/12)-1)^A4</x:f>
        <x:v>-5121.658734358457</x:v>
      </x:c>
      <x:c r="V4" t="n">
        <x:f>IF(Q4&gt;=0,1,0)</x:f>
        <x:v>0</x:v>
      </x:c>
      <x:c r="W4" t="n">
        <x:f>IF(T4&gt;=0,1,0)</x:f>
        <x:v>0</x:v>
      </x:c>
    </x:row>
    <x:row r="5">
      <x:c r="A5" t="n">
        <x:f>4</x:f>
        <x:v>4</x:v>
      </x:c>
      <x:c r="B5" t="n">
        <x:f>B4*(1-'01_SUPUESTOS'!Q5)+'01_SUPUESTOS'!N5</x:f>
        <x:v>2.2997492</x:v>
      </x:c>
      <x:c r="C5" t="n">
        <x:f>C4*(1-'01_SUPUESTOS'!Q5)+'01_SUPUESTOS'!O5</x:f>
        <x:v>0.46579103999999993</x:v>
      </x:c>
      <x:c r="D5" t="n">
        <x:f>D4*(1-'01_SUPUESTOS'!Q5)+'01_SUPUESTOS'!P5</x:f>
        <x:v>0.11644775999999998</x:v>
      </x:c>
      <x:c r="E5" t="n">
        <x:f>SUM(B5:D5)</x:f>
        <x:v>2.8819879999999998</x:v>
      </x:c>
      <x:c r="F5" t="n">
        <x:f>B5*'01_SUPUESTOS'!R5</x:f>
        <x:v>298.967396</x:v>
      </x:c>
      <x:c r="G5" t="n">
        <x:f>C5*'01_SUPUESTOS'!S5</x:f>
        <x:v>256.185072</x:v>
      </x:c>
      <x:c r="H5" t="n">
        <x:f>D5*'01_SUPUESTOS'!T5</x:f>
        <x:v>186.31641599999998</x:v>
      </x:c>
      <x:c r="I5" t="n">
        <x:f>SUM(F5:H5)</x:f>
        <x:v>741.468884</x:v>
      </x:c>
      <x:c r="J5" t="n">
        <x:f>B5*'01_SUPUESTOS'!B5+C5*'01_SUPUESTOS'!C5+D5*'01_SUPUESTOS'!D5</x:f>
        <x:v>3077.0662159999997</x:v>
      </x:c>
      <x:c r="K5" t="n">
        <x:f>MAX(F5-B5*'01_SUPUESTOS'!E5,0)*'01_SUPUESTOS'!H5+MAX(G5-C5*'01_SUPUESTOS'!F5,0)*'01_SUPUESTOS'!I5+MAX(H5-D5*'01_SUPUESTOS'!G5,0)*'01_SUPUESTOS'!J5</x:f>
        <x:v>422.4057840000003</x:v>
      </x:c>
      <x:c r="L5" t="n">
        <x:f>J5+K5</x:f>
        <x:v>3499.472</x:v>
      </x:c>
      <x:c r="M5" t="n">
        <x:f>I5*'01_SUPUESTOS'!U5</x:f>
        <x:v>4.967841522800001</x:v>
      </x:c>
      <x:c r="N5" t="n">
        <x:f>E5*'01_SUPUESTOS'!W5</x:f>
        <x:v>172.91928</x:v>
      </x:c>
      <x:c r="O5" t="n">
        <x:f>M5+N5</x:f>
        <x:v>177.8871215228</x:v>
      </x:c>
      <x:c r="P5" t="n">
        <x:f>SUM('01_SUPUESTOS'!V5,'01_SUPUESTOS'!X5:AB5)</x:f>
        <x:v>8112.08</x:v>
      </x:c>
      <x:c r="Q5" t="n">
        <x:f>L5-O5-P5</x:f>
        <x:v>-4790.495121522799</x:v>
      </x:c>
      <x:c r="R5" t="n">
        <x:f>0</x:f>
        <x:v>0</x:v>
      </x:c>
      <x:c r="S5" t="n">
        <x:f>Q5-R5</x:f>
        <x:v>-4790.495121522799</x:v>
      </x:c>
      <x:c r="T5" t="n">
        <x:f>T4+S5</x:f>
        <x:v>-45963.2590453828</x:v>
      </x:c>
      <x:c r="U5" t="n">
        <x:f>S5/(1+(1+'01_SUPUESTOS'!AF5)^(1/12)-1)^A5</x:f>
        <x:v>-4447.101732707346</x:v>
      </x:c>
      <x:c r="V5" t="n">
        <x:f>IF(Q5&gt;=0,1,0)</x:f>
        <x:v>0</x:v>
      </x:c>
      <x:c r="W5" t="n">
        <x:f>IF(T5&gt;=0,1,0)</x:f>
        <x:v>0</x:v>
      </x:c>
    </x:row>
    <x:row r="6">
      <x:c r="A6" t="n">
        <x:f>5</x:f>
        <x:v>5</x:v>
      </x:c>
      <x:c r="B6" t="n">
        <x:f>B5*(1-'01_SUPUESTOS'!Q5)+'01_SUPUESTOS'!N5</x:f>
        <x:v>2.603754216</x:v>
      </x:c>
      <x:c r="C6" t="n">
        <x:f>C5*(1-'01_SUPUESTOS'!Q5)+'01_SUPUESTOS'!O5</x:f>
        <x:v>0.5764752192</x:v>
      </x:c>
      <x:c r="D6" t="n">
        <x:f>D5*(1-'01_SUPUESTOS'!Q5)+'01_SUPUESTOS'!P5</x:f>
        <x:v>0.1441188048</x:v>
      </x:c>
      <x:c r="E6" t="n">
        <x:f>SUM(B6:D6)</x:f>
        <x:v>3.3243482400000004</x:v>
      </x:c>
      <x:c r="F6" t="n">
        <x:f>B6*'01_SUPUESTOS'!R5</x:f>
        <x:v>338.48804808</x:v>
      </x:c>
      <x:c r="G6" t="n">
        <x:f>C6*'01_SUPUESTOS'!S5</x:f>
        <x:v>317.06137056</x:v>
      </x:c>
      <x:c r="H6" t="n">
        <x:f>D6*'01_SUPUESTOS'!T5</x:f>
        <x:v>230.59008768</x:v>
      </x:c>
      <x:c r="I6" t="n">
        <x:f>SUM(F6:H6)</x:f>
        <x:v>886.13950632</x:v>
      </x:c>
      <x:c r="J6" t="n">
        <x:f>B6*'01_SUPUESTOS'!B5+C6*'01_SUPUESTOS'!C5+D6*'01_SUPUESTOS'!D5</x:f>
        <x:v>3638.52489168</x:v>
      </x:c>
      <x:c r="K6" t="n">
        <x:f>MAX(F6-B6*'01_SUPUESTOS'!E5,0)*'01_SUPUESTOS'!H5+MAX(G6-C6*'01_SUPUESTOS'!F5,0)*'01_SUPUESTOS'!I5+MAX(H6-D6*'01_SUPUESTOS'!G5,0)*'01_SUPUESTOS'!J5</x:f>
        <x:v>500.95766832000004</x:v>
      </x:c>
      <x:c r="L6" t="n">
        <x:f>J6+K6</x:f>
        <x:v>4139.48256</x:v>
      </x:c>
      <x:c r="M6" t="n">
        <x:f>I6*'01_SUPUESTOS'!U5</x:f>
        <x:v>5.937134692344</x:v>
      </x:c>
      <x:c r="N6" t="n">
        <x:f>E6*'01_SUPUESTOS'!W5</x:f>
        <x:v>199.46089440000003</x:v>
      </x:c>
      <x:c r="O6" t="n">
        <x:f>M6+N6</x:f>
        <x:v>205.39802909234402</x:v>
      </x:c>
      <x:c r="P6" t="n">
        <x:f>SUM('01_SUPUESTOS'!V5,'01_SUPUESTOS'!X5:AB5)</x:f>
        <x:v>8112.08</x:v>
      </x:c>
      <x:c r="Q6" t="n">
        <x:f>L6-O6-P6</x:f>
        <x:v>-4177.995469092344</x:v>
      </x:c>
      <x:c r="R6" t="n">
        <x:f>0</x:f>
        <x:v>0</x:v>
      </x:c>
      <x:c r="S6" t="n">
        <x:f>Q6-R6</x:f>
        <x:v>-4177.995469092344</x:v>
      </x:c>
      <x:c r="T6" t="n">
        <x:f>T5+S6</x:f>
        <x:v>-50141.25451447515</x:v>
      </x:c>
      <x:c r="U6" t="n">
        <x:f>S6/(1+(1+'01_SUPUESTOS'!AF5)^(1/12)-1)^A6</x:f>
        <x:v>-3807.051857598182</x:v>
      </x:c>
      <x:c r="V6" t="n">
        <x:f>IF(Q6&gt;=0,1,0)</x:f>
        <x:v>0</x:v>
      </x:c>
      <x:c r="W6" t="n">
        <x:f>IF(T6&gt;=0,1,0)</x:f>
        <x:v>0</x:v>
      </x:c>
    </x:row>
    <x:row r="7">
      <x:c r="A7" t="n">
        <x:f>6</x:f>
        <x:v>6</x:v>
      </x:c>
      <x:c r="B7" t="n">
        <x:f>B6*(1-'01_SUPUESTOS'!Q5)+'01_SUPUESTOS'!N5</x:f>
        <x:v>2.90167913168</x:v>
      </x:c>
      <x:c r="C7" t="n">
        <x:f>C6*(1-'01_SUPUESTOS'!Q5)+'01_SUPUESTOS'!O5</x:f>
        <x:v>0.684945714816</x:v>
      </x:c>
      <x:c r="D7" t="n">
        <x:f>D6*(1-'01_SUPUESTOS'!Q5)+'01_SUPUESTOS'!P5</x:f>
        <x:v>0.171236428704</x:v>
      </x:c>
      <x:c r="E7" t="n">
        <x:f>SUM(B7:D7)</x:f>
        <x:v>3.7578612752</x:v>
      </x:c>
      <x:c r="F7" t="n">
        <x:f>B7*'01_SUPUESTOS'!R5</x:f>
        <x:v>377.2182871184</x:v>
      </x:c>
      <x:c r="G7" t="n">
        <x:f>C7*'01_SUPUESTOS'!S5</x:f>
        <x:v>376.7201431488</x:v>
      </x:c>
      <x:c r="H7" t="n">
        <x:f>D7*'01_SUPUESTOS'!T5</x:f>
        <x:v>273.97828592639996</x:v>
      </x:c>
      <x:c r="I7" t="n">
        <x:f>SUM(F7:H7)</x:f>
        <x:v>1027.9167161935998</x:v>
      </x:c>
      <x:c r="J7" t="n">
        <x:f>B7*'01_SUPUESTOS'!B5+C7*'01_SUPUESTOS'!C5+D7*'01_SUPUESTOS'!D5</x:f>
        <x:v>4188.7543938464</x:v>
      </x:c>
      <x:c r="K7" t="n">
        <x:f>MAX(F7-B7*'01_SUPUESTOS'!E5,0)*'01_SUPUESTOS'!H5+MAX(G7-C7*'01_SUPUESTOS'!F5,0)*'01_SUPUESTOS'!I5+MAX(H7-D7*'01_SUPUESTOS'!G5,0)*'01_SUPUESTOS'!J5</x:f>
        <x:v>577.9385149535998</x:v>
      </x:c>
      <x:c r="L7" t="n">
        <x:f>J7+K7</x:f>
        <x:v>4766.6929088</x:v>
      </x:c>
      <x:c r="M7" t="n">
        <x:f>I7*'01_SUPUESTOS'!U5</x:f>
        <x:v>6.887041998497119</x:v>
      </x:c>
      <x:c r="N7" t="n">
        <x:f>E7*'01_SUPUESTOS'!W5</x:f>
        <x:v>225.471676512</x:v>
      </x:c>
      <x:c r="O7" t="n">
        <x:f>M7+N7</x:f>
        <x:v>232.3587185104971</x:v>
      </x:c>
      <x:c r="P7" t="n">
        <x:f>SUM('01_SUPUESTOS'!V5,'01_SUPUESTOS'!X5:AB5)</x:f>
        <x:v>8112.08</x:v>
      </x:c>
      <x:c r="Q7" t="n">
        <x:f>L7-O7-P7</x:f>
        <x:v>-3577.7458097104973</x:v>
      </x:c>
      <x:c r="R7" t="n">
        <x:f>0</x:f>
        <x:v>0</x:v>
      </x:c>
      <x:c r="S7" t="n">
        <x:f>Q7-R7</x:f>
        <x:v>-3577.7458097104973</x:v>
      </x:c>
      <x:c r="T7" t="n">
        <x:f>T6+S7</x:f>
        <x:v>-53719.00032418565</x:v>
      </x:c>
      <x:c r="U7" t="n">
        <x:f>S7/(1+(1+'01_SUPUESTOS'!AF5)^(1/12)-1)^A7</x:f>
        <x:v>-3200.033134691082</x:v>
      </x:c>
      <x:c r="V7" t="n">
        <x:f>IF(Q7&gt;=0,1,0)</x:f>
        <x:v>0</x:v>
      </x:c>
      <x:c r="W7" t="n">
        <x:f>IF(T7&gt;=0,1,0)</x:f>
        <x:v>0</x:v>
      </x:c>
    </x:row>
    <x:row r="8">
      <x:c r="A8" t="n">
        <x:f>7</x:f>
        <x:v>7</x:v>
      </x:c>
      <x:c r="B8" t="n">
        <x:f>B7*(1-'01_SUPUESTOS'!Q5)+'01_SUPUESTOS'!N5</x:f>
        <x:v>3.1936455490464</x:v>
      </x:c>
      <x:c r="C8" t="n">
        <x:f>C7*(1-'01_SUPUESTOS'!Q5)+'01_SUPUESTOS'!O5</x:f>
        <x:v>0.79124680051968</x:v>
      </x:c>
      <x:c r="D8" t="n">
        <x:f>D7*(1-'01_SUPUESTOS'!Q5)+'01_SUPUESTOS'!P5</x:f>
        <x:v>0.19781170012992</x:v>
      </x:c>
      <x:c r="E8" t="n">
        <x:f>SUM(B8:D8)</x:f>
        <x:v>4.1827040496959995</x:v>
      </x:c>
      <x:c r="F8" t="n">
        <x:f>B8*'01_SUPUESTOS'!R5</x:f>
        <x:v>415.173921376032</x:v>
      </x:c>
      <x:c r="G8" t="n">
        <x:f>C8*'01_SUPUESTOS'!S5</x:f>
        <x:v>435.185740285824</x:v>
      </x:c>
      <x:c r="H8" t="n">
        <x:f>D8*'01_SUPUESTOS'!T5</x:f>
        <x:v>316.498720207872</x:v>
      </x:c>
      <x:c r="I8" t="n">
        <x:f>SUM(F8:H8)</x:f>
        <x:v>1166.858381869728</x:v>
      </x:c>
      <x:c r="J8" t="n">
        <x:f>B8*'01_SUPUESTOS'!B5+C8*'01_SUPUESTOS'!C5+D8*'01_SUPUESTOS'!D5</x:f>
        <x:v>4727.979305969472</x:v>
      </x:c>
      <x:c r="K8" t="n">
        <x:f>MAX(F8-B8*'01_SUPUESTOS'!E5,0)*'01_SUPUESTOS'!H5+MAX(G8-C8*'01_SUPUESTOS'!F5,0)*'01_SUPUESTOS'!I5+MAX(H8-D8*'01_SUPUESTOS'!G5,0)*'01_SUPUESTOS'!J5</x:f>
        <x:v>653.3797446545284</x:v>
      </x:c>
      <x:c r="L8" t="n">
        <x:f>J8+K8</x:f>
        <x:v>5381.359050624001</x:v>
      </x:c>
      <x:c r="M8" t="n">
        <x:f>I8*'01_SUPUESTOS'!U5</x:f>
        <x:v>7.817951158527178</x:v>
      </x:c>
      <x:c r="N8" t="n">
        <x:f>E8*'01_SUPUESTOS'!W5</x:f>
        <x:v>250.96224298175997</x:v>
      </x:c>
      <x:c r="O8" t="n">
        <x:f>M8+N8</x:f>
        <x:v>258.78019414028716</x:v>
      </x:c>
      <x:c r="P8" t="n">
        <x:f>SUM('01_SUPUESTOS'!V5,'01_SUPUESTOS'!X5:AB5)</x:f>
        <x:v>8112.08</x:v>
      </x:c>
      <x:c r="Q8" t="n">
        <x:f>L8-O8-P8</x:f>
        <x:v>-2989.501143516286</x:v>
      </x:c>
      <x:c r="R8" t="n">
        <x:f>0</x:f>
        <x:v>0</x:v>
      </x:c>
      <x:c r="S8" t="n">
        <x:f>Q8-R8</x:f>
        <x:v>-2989.501143516286</x:v>
      </x:c>
      <x:c r="T8" t="n">
        <x:f>T7+S8</x:f>
        <x:v>-56708.501467701935</x:v>
      </x:c>
      <x:c r="U8" t="n">
        <x:f>S8/(1+(1+'01_SUPUESTOS'!AF5)^(1/12)-1)^A8</x:f>
        <x:v>-2624.6287572951096</x:v>
      </x:c>
      <x:c r="V8" t="n">
        <x:f>IF(Q8&gt;=0,1,0)</x:f>
        <x:v>0</x:v>
      </x:c>
      <x:c r="W8" t="n">
        <x:f>IF(T8&gt;=0,1,0)</x:f>
        <x:v>0</x:v>
      </x:c>
    </x:row>
    <x:row r="9">
      <x:c r="A9" t="n">
        <x:f>8</x:f>
        <x:v>8</x:v>
      </x:c>
      <x:c r="B9" t="n">
        <x:f>B8*(1-'01_SUPUESTOS'!Q5)+'01_SUPUESTOS'!N5</x:f>
        <x:v>3.479772638065472</x:v>
      </x:c>
      <x:c r="C9" t="n">
        <x:f>C8*(1-'01_SUPUESTOS'!Q5)+'01_SUPUESTOS'!O5</x:f>
        <x:v>0.8954218645092864</x:v>
      </x:c>
      <x:c r="D9" t="n">
        <x:f>D8*(1-'01_SUPUESTOS'!Q5)+'01_SUPUESTOS'!P5</x:f>
        <x:v>0.2238554661273216</x:v>
      </x:c>
      <x:c r="E9" t="n">
        <x:f>SUM(B9:D9)</x:f>
        <x:v>4.59904996870208</x:v>
      </x:c>
      <x:c r="F9" t="n">
        <x:f>B9*'01_SUPUESTOS'!R5</x:f>
        <x:v>452.37044294851137</x:v>
      </x:c>
      <x:c r="G9" t="n">
        <x:f>C9*'01_SUPUESTOS'!S5</x:f>
        <x:v>492.4820254801075</x:v>
      </x:c>
      <x:c r="H9" t="n">
        <x:f>D9*'01_SUPUESTOS'!T5</x:f>
        <x:v>358.16874580371456</x:v>
      </x:c>
      <x:c r="I9" t="n">
        <x:f>SUM(F9:H9)</x:f>
        <x:v>1303.0212142323335</x:v>
      </x:c>
      <x:c r="J9" t="n">
        <x:f>B9*'01_SUPUESTOS'!B5+C9*'01_SUPUESTOS'!C5+D9*'01_SUPUESTOS'!D5</x:f>
        <x:v>5256.419719850082</x:v>
      </x:c>
      <x:c r="K9" t="n">
        <x:f>MAX(F9-B9*'01_SUPUESTOS'!E5,0)*'01_SUPUESTOS'!H5+MAX(G9-C9*'01_SUPUESTOS'!F5,0)*'01_SUPUESTOS'!I5+MAX(H9-D9*'01_SUPUESTOS'!G5,0)*'01_SUPUESTOS'!J5</x:f>
        <x:v>727.3121497614374</x:v>
      </x:c>
      <x:c r="L9" t="n">
        <x:f>J9+K9</x:f>
        <x:v>5983.73186961152</x:v>
      </x:c>
      <x:c r="M9" t="n">
        <x:f>I9*'01_SUPUESTOS'!U5</x:f>
        <x:v>8.730242135356635</x:v>
      </x:c>
      <x:c r="N9" t="n">
        <x:f>E9*'01_SUPUESTOS'!W5</x:f>
        <x:v>275.94299812212483</x:v>
      </x:c>
      <x:c r="O9" t="n">
        <x:f>M9+N9</x:f>
        <x:v>284.6732402574815</x:v>
      </x:c>
      <x:c r="P9" t="n">
        <x:f>SUM('01_SUPUESTOS'!V5,'01_SUPUESTOS'!X5:AB5)</x:f>
        <x:v>8112.08</x:v>
      </x:c>
      <x:c r="Q9" t="n">
        <x:f>L9-O9-P9</x:f>
        <x:v>-2413.0213706459617</x:v>
      </x:c>
      <x:c r="R9" t="n">
        <x:f>0</x:f>
        <x:v>0</x:v>
      </x:c>
      <x:c r="S9" t="n">
        <x:f>Q9-R9</x:f>
        <x:v>-2413.0213706459617</x:v>
      </x:c>
      <x:c r="T9" t="n">
        <x:f>T8+S9</x:f>
        <x:v>-59121.5228383479</x:v>
      </x:c>
      <x:c r="U9" t="n">
        <x:f>S9/(1+(1+'01_SUPUESTOS'!AF5)^(1/12)-1)^A9</x:f>
        <x:v>-2079.4787794831796</x:v>
      </x:c>
      <x:c r="V9" t="n">
        <x:f>IF(Q9&gt;=0,1,0)</x:f>
        <x:v>0</x:v>
      </x:c>
      <x:c r="W9" t="n">
        <x:f>IF(T9&gt;=0,1,0)</x:f>
        <x:v>0</x:v>
      </x:c>
    </x:row>
    <x:row r="10">
      <x:c r="A10" t="n">
        <x:f>9</x:f>
        <x:v>9</x:v>
      </x:c>
      <x:c r="B10" t="n">
        <x:f>B9*(1-'01_SUPUESTOS'!Q5)+'01_SUPUESTOS'!N5</x:f>
        <x:v>3.760177185304163</x:v>
      </x:c>
      <x:c r="C10" t="n">
        <x:f>C9*(1-'01_SUPUESTOS'!Q5)+'01_SUPUESTOS'!O5</x:f>
        <x:v>0.9975134272191006</x:v>
      </x:c>
      <x:c r="D10" t="n">
        <x:f>D9*(1-'01_SUPUESTOS'!Q5)+'01_SUPUESTOS'!P5</x:f>
        <x:v>0.24937835680477516</x:v>
      </x:c>
      <x:c r="E10" t="n">
        <x:f>SUM(B10:D10)</x:f>
        <x:v>5.007068969328039</x:v>
      </x:c>
      <x:c r="F10" t="n">
        <x:f>B10*'01_SUPUESTOS'!R5</x:f>
        <x:v>488.8230340895412</x:v>
      </x:c>
      <x:c r="G10" t="n">
        <x:f>C10*'01_SUPUESTOS'!S5</x:f>
        <x:v>548.6323849705053</x:v>
      </x:c>
      <x:c r="H10" t="n">
        <x:f>D10*'01_SUPUESTOS'!T5</x:f>
        <x:v>399.00537088764025</x:v>
      </x:c>
      <x:c r="I10" t="n">
        <x:f>SUM(F10:H10)</x:f>
        <x:v>1436.4607899476869</x:v>
      </x:c>
      <x:c r="J10" t="n">
        <x:f>B10*'01_SUPUESTOS'!B5+C10*'01_SUPUESTOS'!C5+D10*'01_SUPUESTOS'!D5</x:f>
        <x:v>5774.291325453081</x:v>
      </x:c>
      <x:c r="K10" t="n">
        <x:f>MAX(F10-B10*'01_SUPUESTOS'!E5,0)*'01_SUPUESTOS'!H5+MAX(G10-C10*'01_SUPUESTOS'!F5,0)*'01_SUPUESTOS'!I5+MAX(H10-D10*'01_SUPUESTOS'!G5,0)*'01_SUPUESTOS'!J5</x:f>
        <x:v>799.7659067662088</x:v>
      </x:c>
      <x:c r="L10" t="n">
        <x:f>J10+K10</x:f>
        <x:v>6574.05723221929</x:v>
      </x:c>
      <x:c r="M10" t="n">
        <x:f>I10*'01_SUPUESTOS'!U5</x:f>
        <x:v>9.624287292649502</x:v>
      </x:c>
      <x:c r="N10" t="n">
        <x:f>E10*'01_SUPUESTOS'!W5</x:f>
        <x:v>300.42413815968234</x:v>
      </x:c>
      <x:c r="O10" t="n">
        <x:f>M10+N10</x:f>
        <x:v>310.04842545233186</x:v>
      </x:c>
      <x:c r="P10" t="n">
        <x:f>SUM('01_SUPUESTOS'!V5,'01_SUPUESTOS'!X5:AB5)</x:f>
        <x:v>8112.08</x:v>
      </x:c>
      <x:c r="Q10" t="n">
        <x:f>L10-O10-P10</x:f>
        <x:v>-1848.0711932330414</x:v>
      </x:c>
      <x:c r="R10" t="n">
        <x:f>0</x:f>
        <x:v>0</x:v>
      </x:c>
      <x:c r="S10" t="n">
        <x:f>Q10-R10</x:f>
        <x:v>-1848.0711932330414</x:v>
      </x:c>
      <x:c r="T10" t="n">
        <x:f>T9+S10</x:f>
        <x:v>-60969.59403158094</x:v>
      </x:c>
      <x:c r="U10" t="n">
        <x:f>S10/(1+(1+'01_SUPUESTOS'!AF5)^(1/12)-1)^A10</x:f>
        <x:v>-1563.2778980135472</x:v>
      </x:c>
      <x:c r="V10" t="n">
        <x:f>IF(Q10&gt;=0,1,0)</x:f>
        <x:v>0</x:v>
      </x:c>
      <x:c r="W10" t="n">
        <x:f>IF(T10&gt;=0,1,0)</x:f>
        <x:v>0</x:v>
      </x:c>
    </x:row>
    <x:row r="11">
      <x:c r="A11" t="n">
        <x:f>10</x:f>
        <x:v>10</x:v>
      </x:c>
      <x:c r="B11" t="n">
        <x:f>B10*(1-'01_SUPUESTOS'!Q5)+'01_SUPUESTOS'!N5</x:f>
        <x:v>4.0349736415980795</x:v>
      </x:c>
      <x:c r="C11" t="n">
        <x:f>C10*(1-'01_SUPUESTOS'!Q5)+'01_SUPUESTOS'!O5</x:f>
        <x:v>1.0975631586747188</x:v>
      </x:c>
      <x:c r="D11" t="n">
        <x:f>D10*(1-'01_SUPUESTOS'!Q5)+'01_SUPUESTOS'!P5</x:f>
        <x:v>0.2743907896686797</x:v>
      </x:c>
      <x:c r="E11" t="n">
        <x:f>SUM(B11:D11)</x:f>
        <x:v>5.406927589941478</x:v>
      </x:c>
      <x:c r="F11" t="n">
        <x:f>B11*'01_SUPUESTOS'!R5</x:f>
        <x:v>524.5465734077503</x:v>
      </x:c>
      <x:c r="G11" t="n">
        <x:f>C11*'01_SUPUESTOS'!S5</x:f>
        <x:v>603.6597372710953</x:v>
      </x:c>
      <x:c r="H11" t="n">
        <x:f>D11*'01_SUPUESTOS'!T5</x:f>
        <x:v>439.0252634698875</x:v>
      </x:c>
      <x:c r="I11" t="n">
        <x:f>SUM(F11:H11)</x:f>
        <x:v>1567.231574148733</x:v>
      </x:c>
      <x:c r="J11" t="n">
        <x:f>B11*'01_SUPUESTOS'!B5+C11*'01_SUPUESTOS'!C5+D11*'01_SUPUESTOS'!D5</x:f>
        <x:v>6281.80549894402</x:v>
      </x:c>
      <x:c r="K11" t="n">
        <x:f>MAX(F11-B11*'01_SUPUESTOS'!E5,0)*'01_SUPUESTOS'!H5+MAX(G11-C11*'01_SUPUESTOS'!F5,0)*'01_SUPUESTOS'!I5+MAX(H11-D11*'01_SUPUESTOS'!G5,0)*'01_SUPUESTOS'!J5</x:f>
        <x:v>870.7705886308842</x:v>
      </x:c>
      <x:c r="L11" t="n">
        <x:f>J11+K11</x:f>
        <x:v>7152.576087574904</x:v>
      </x:c>
      <x:c r="M11" t="n">
        <x:f>I11*'01_SUPUESTOS'!U5</x:f>
        <x:v>10.500451546796512</x:v>
      </x:c>
      <x:c r="N11" t="n">
        <x:f>E11*'01_SUPUESTOS'!W5</x:f>
        <x:v>324.4156553964887</x:v>
      </x:c>
      <x:c r="O11" t="n">
        <x:f>M11+N11</x:f>
        <x:v>334.91610694328523</x:v>
      </x:c>
      <x:c r="P11" t="n">
        <x:f>SUM('01_SUPUESTOS'!V5,'01_SUPUESTOS'!X5:AB5)</x:f>
        <x:v>8112.08</x:v>
      </x:c>
      <x:c r="Q11" t="n">
        <x:f>L11-O11-P11</x:f>
        <x:v>-1294.420019368381</x:v>
      </x:c>
      <x:c r="R11" t="n">
        <x:f>0</x:f>
        <x:v>0</x:v>
      </x:c>
      <x:c r="S11" t="n">
        <x:f>Q11-R11</x:f>
        <x:v>-1294.420019368381</x:v>
      </x:c>
      <x:c r="T11" t="n">
        <x:f>T10+S11</x:f>
        <x:v>-62264.01405094932</x:v>
      </x:c>
      <x:c r="U11" t="n">
        <x:f>S11/(1+(1+'01_SUPUESTOS'!AF5)^(1/12)-1)^A11</x:f>
        <x:v>-1074.773319659632</x:v>
      </x:c>
      <x:c r="V11" t="n">
        <x:f>IF(Q11&gt;=0,1,0)</x:f>
        <x:v>0</x:v>
      </x:c>
      <x:c r="W11" t="n">
        <x:f>IF(T11&gt;=0,1,0)</x:f>
        <x:v>0</x:v>
      </x:c>
    </x:row>
    <x:row r="12">
      <x:c r="A12" t="n">
        <x:f>11</x:f>
        <x:v>11</x:v>
      </x:c>
      <x:c r="B12" t="n">
        <x:f>B11*(1-'01_SUPUESTOS'!Q5)+'01_SUPUESTOS'!N5</x:f>
        <x:v>4.304274168766118</x:v>
      </x:c>
      <x:c r="C12" t="n">
        <x:f>C11*(1-'01_SUPUESTOS'!Q5)+'01_SUPUESTOS'!O5</x:f>
        <x:v>1.1956118955012243</x:v>
      </x:c>
      <x:c r="D12" t="n">
        <x:f>D11*(1-'01_SUPUESTOS'!Q5)+'01_SUPUESTOS'!P5</x:f>
        <x:v>0.29890297387530607</x:v>
      </x:c>
      <x:c r="E12" t="n">
        <x:f>SUM(B12:D12)</x:f>
        <x:v>5.7987890381426475</x:v>
      </x:c>
      <x:c r="F12" t="n">
        <x:f>B12*'01_SUPUESTOS'!R5</x:f>
        <x:v>559.5556419395954</x:v>
      </x:c>
      <x:c r="G12" t="n">
        <x:f>C12*'01_SUPUESTOS'!S5</x:f>
        <x:v>657.5865425256734</x:v>
      </x:c>
      <x:c r="H12" t="n">
        <x:f>D12*'01_SUPUESTOS'!T5</x:f>
        <x:v>478.2447582004897</x:v>
      </x:c>
      <x:c r="I12" t="n">
        <x:f>SUM(F12:H12)</x:f>
        <x:v>1695.3869426657584</x:v>
      </x:c>
      <x:c r="J12" t="n">
        <x:f>B12*'01_SUPUESTOS'!B5+C12*'01_SUPUESTOS'!C5+D12*'01_SUPUESTOS'!D5</x:f>
        <x:v>6779.16938896514</x:v>
      </x:c>
      <x:c r="K12" t="n">
        <x:f>MAX(F12-B12*'01_SUPUESTOS'!E5,0)*'01_SUPUESTOS'!H5+MAX(G12-C12*'01_SUPUESTOS'!F5,0)*'01_SUPUESTOS'!I5+MAX(H12-D12*'01_SUPUESTOS'!G5,0)*'01_SUPUESTOS'!J5</x:f>
        <x:v>940.355176858267</x:v>
      </x:c>
      <x:c r="L12" t="n">
        <x:f>J12+K12</x:f>
        <x:v>7719.524565823407</x:v>
      </x:c>
      <x:c r="M12" t="n">
        <x:f>I12*'01_SUPUESTOS'!U5</x:f>
        <x:v>11.359092515860581</x:v>
      </x:c>
      <x:c r="N12" t="n">
        <x:f>E12*'01_SUPUESTOS'!W5</x:f>
        <x:v>347.92734228855886</x:v>
      </x:c>
      <x:c r="O12" t="n">
        <x:f>M12+N12</x:f>
        <x:v>359.28643480441946</x:v>
      </x:c>
      <x:c r="P12" t="n">
        <x:f>SUM('01_SUPUESTOS'!V5,'01_SUPUESTOS'!X5:AB5)</x:f>
        <x:v>8112.08</x:v>
      </x:c>
      <x:c r="Q12" t="n">
        <x:f>L12-O12-P12</x:f>
        <x:v>-751.8418689810123</x:v>
      </x:c>
      <x:c r="R12" t="n">
        <x:f>0</x:f>
        <x:v>0</x:v>
      </x:c>
      <x:c r="S12" t="n">
        <x:f>Q12-R12</x:f>
        <x:v>-751.8418689810123</x:v>
      </x:c>
      <x:c r="T12" t="n">
        <x:f>T11+S12</x:f>
        <x:v>-63015.855919930334</x:v>
      </x:c>
      <x:c r="U12" t="n">
        <x:f>S12/(1+(1+'01_SUPUESTOS'!AF5)^(1/12)-1)^A12</x:f>
        <x:v>-612.7627106794934</x:v>
      </x:c>
      <x:c r="V12" t="n">
        <x:f>IF(Q12&gt;=0,1,0)</x:f>
        <x:v>0</x:v>
      </x:c>
      <x:c r="W12" t="n">
        <x:f>IF(T12&gt;=0,1,0)</x:f>
        <x:v>0</x:v>
      </x:c>
    </x:row>
    <x:row r="13">
      <x:c r="A13" t="n">
        <x:f>12</x:f>
        <x:v>12</x:v>
      </x:c>
      <x:c r="B13" t="n">
        <x:f>B12*(1-'01_SUPUESTOS'!Q5)+'01_SUPUESTOS'!N5</x:f>
        <x:v>4.568188685390795</x:v>
      </x:c>
      <x:c r="C13" t="n">
        <x:f>C12*(1-'01_SUPUESTOS'!Q5)+'01_SUPUESTOS'!O5</x:f>
        <x:v>1.2916996575911996</x:v>
      </x:c>
      <x:c r="D13" t="n">
        <x:f>D12*(1-'01_SUPUESTOS'!Q5)+'01_SUPUESTOS'!P5</x:f>
        <x:v>0.3229249143977999</x:v>
      </x:c>
      <x:c r="E13" t="n">
        <x:f>SUM(B13:D13)</x:f>
        <x:v>6.182813257379794</x:v>
      </x:c>
      <x:c r="F13" t="n">
        <x:f>B13*'01_SUPUESTOS'!R5</x:f>
        <x:v>593.8645291008033</x:v>
      </x:c>
      <x:c r="G13" t="n">
        <x:f>C13*'01_SUPUESTOS'!S5</x:f>
        <x:v>710.4348116751598</x:v>
      </x:c>
      <x:c r="H13" t="n">
        <x:f>D13*'01_SUPUESTOS'!T5</x:f>
        <x:v>516.6798630364799</x:v>
      </x:c>
      <x:c r="I13" t="n">
        <x:f>SUM(F13:H13)</x:f>
        <x:v>1820.979203812443</x:v>
      </x:c>
      <x:c r="J13" t="n">
        <x:f>B13*'01_SUPUESTOS'!B5+C13*'01_SUPUESTOS'!C5+D13*'01_SUPUESTOS'!D5</x:f>
        <x:v>7266.586001185835</x:v>
      </x:c>
      <x:c r="K13" t="n">
        <x:f>MAX(F13-B13*'01_SUPUESTOS'!E5,0)*'01_SUPUESTOS'!H5+MAX(G13-C13*'01_SUPUESTOS'!F5,0)*'01_SUPUESTOS'!I5+MAX(H13-D13*'01_SUPUESTOS'!G5,0)*'01_SUPUESTOS'!J5</x:f>
        <x:v>1008.5480733211016</x:v>
      </x:c>
      <x:c r="L13" t="n">
        <x:f>J13+K13</x:f>
        <x:v>8275.134074506936</x:v>
      </x:c>
      <x:c r="M13" t="n">
        <x:f>I13*'01_SUPUESTOS'!U5</x:f>
        <x:v>12.20056066554337</x:v>
      </x:c>
      <x:c r="N13" t="n">
        <x:f>E13*'01_SUPUESTOS'!W5</x:f>
        <x:v>370.96879544278767</x:v>
      </x:c>
      <x:c r="O13" t="n">
        <x:f>M13+N13</x:f>
        <x:v>383.16935610833104</x:v>
      </x:c>
      <x:c r="P13" t="n">
        <x:f>SUM('01_SUPUESTOS'!V5,'01_SUPUESTOS'!X5:AB5)</x:f>
        <x:v>8112.08</x:v>
      </x:c>
      <x:c r="Q13" t="n">
        <x:f>L13-O13-P13</x:f>
        <x:v>-220.1152816013955</x:v>
      </x:c>
      <x:c r="R13" t="n">
        <x:f>0</x:f>
        <x:v>0</x:v>
      </x:c>
      <x:c r="S13" t="n">
        <x:f>Q13-R13</x:f>
        <x:v>-220.1152816013955</x:v>
      </x:c>
      <x:c r="T13" t="n">
        <x:f>T12+S13</x:f>
        <x:v>-63235.97120153173</x:v>
      </x:c>
      <x:c r="U13" t="n">
        <x:f>S13/(1+(1+'01_SUPUESTOS'!AF5)^(1/12)-1)^A13</x:f>
        <x:v>-176.0922252811167</x:v>
      </x:c>
      <x:c r="V13" t="n">
        <x:f>IF(Q13&gt;=0,1,0)</x:f>
        <x:v>0</x:v>
      </x:c>
      <x:c r="W13" t="n">
        <x:f>IF(T13&gt;=0,1,0)</x:f>
        <x:v>0</x:v>
      </x:c>
    </x:row>
    <x:row r="14">
      <x:c r="A14" t="n">
        <x:f>13</x:f>
        <x:v>13</x:v>
      </x:c>
      <x:c r="B14" t="n">
        <x:f>B13*(1-'01_SUPUESTOS'!Q5)+'01_SUPUESTOS'!N5</x:f>
        <x:v>4.826824911682978</x:v>
      </x:c>
      <x:c r="C14" t="n">
        <x:f>C13*(1-'01_SUPUESTOS'!Q5)+'01_SUPUESTOS'!O5</x:f>
        <x:v>1.3858656644393754</x:v>
      </x:c>
      <x:c r="D14" t="n">
        <x:f>D13*(1-'01_SUPUESTOS'!Q5)+'01_SUPUESTOS'!P5</x:f>
        <x:v>0.34646641610984386</x:v>
      </x:c>
      <x:c r="E14" t="n">
        <x:f>SUM(B14:D14)</x:f>
        <x:v>6.5591569922321975</x:v>
      </x:c>
      <x:c r="F14" t="n">
        <x:f>B14*'01_SUPUESTOS'!R5</x:f>
        <x:v>627.4872385187872</x:v>
      </x:c>
      <x:c r="G14" t="n">
        <x:f>C14*'01_SUPUESTOS'!S5</x:f>
        <x:v>762.2261154416565</x:v>
      </x:c>
      <x:c r="H14" t="n">
        <x:f>D14*'01_SUPUESTOS'!T5</x:f>
        <x:v>554.3462657757502</x:v>
      </x:c>
      <x:c r="I14" t="n">
        <x:f>SUM(F14:H14)</x:f>
        <x:v>1944.059619736194</x:v>
      </x:c>
      <x:c r="J14" t="n">
        <x:f>B14*'01_SUPUESTOS'!B5+C14*'01_SUPUESTOS'!C5+D14*'01_SUPUESTOS'!D5</x:f>
        <x:v>7744.254281162117</x:v>
      </x:c>
      <x:c r="K14" t="n">
        <x:f>MAX(F14-B14*'01_SUPUESTOS'!E5,0)*'01_SUPUESTOS'!H5+MAX(G14-C14*'01_SUPUESTOS'!F5,0)*'01_SUPUESTOS'!I5+MAX(H14-D14*'01_SUPUESTOS'!G5,0)*'01_SUPUESTOS'!J5</x:f>
        <x:v>1075.3771118546797</x:v>
      </x:c>
      <x:c r="L14" t="n">
        <x:f>J14+K14</x:f>
        <x:v>8819.631393016796</x:v>
      </x:c>
      <x:c r="M14" t="n">
        <x:f>I14*'01_SUPUESTOS'!U5</x:f>
        <x:v>13.025199452232501</x:v>
      </x:c>
      <x:c r="N14" t="n">
        <x:f>E14*'01_SUPUESTOS'!W5</x:f>
        <x:v>393.5494195339318</x:v>
      </x:c>
      <x:c r="O14" t="n">
        <x:f>M14+N14</x:f>
        <x:v>406.57461898616435</x:v>
      </x:c>
      <x:c r="P14" t="n">
        <x:f>SUM('01_SUPUESTOS'!V5,'01_SUPUESTOS'!X5:AB5)</x:f>
        <x:v>8112.08</x:v>
      </x:c>
      <x:c r="Q14" t="n">
        <x:f>L14-O14-P14</x:f>
        <x:v>300.97677403063244</x:v>
      </x:c>
      <x:c r="R14" t="n">
        <x:f>0</x:f>
        <x:v>0</x:v>
      </x:c>
      <x:c r="S14" t="n">
        <x:f>Q14-R14</x:f>
        <x:v>300.97677403063244</x:v>
      </x:c>
      <x:c r="T14" t="n">
        <x:f>T13+S14</x:f>
        <x:v>-62934.99442750109</x:v>
      </x:c>
      <x:c r="U14" t="n">
        <x:f>S14/(1+(1+'01_SUPUESTOS'!AF5)^(1/12)-1)^A14</x:f>
        <x:v>236.34538994046798</x:v>
      </x:c>
      <x:c r="V14" t="n">
        <x:f>IF(Q14&gt;=0,1,0)</x:f>
        <x:v>1</x:v>
      </x:c>
      <x:c r="W14" t="n">
        <x:f>IF(T14&gt;=0,1,0)</x:f>
        <x:v>0</x:v>
      </x:c>
    </x:row>
    <x:row r="15">
      <x:c r="A15" t="n">
        <x:f>14</x:f>
        <x:v>14</x:v>
      </x:c>
      <x:c r="B15" t="n">
        <x:f>B14*(1-'01_SUPUESTOS'!Q5)+'01_SUPUESTOS'!N5</x:f>
        <x:v>5.080288413449318</x:v>
      </x:c>
      <x:c r="C15" t="n">
        <x:f>C14*(1-'01_SUPUESTOS'!Q5)+'01_SUPUESTOS'!O5</x:f>
        <x:v>1.4781483511505877</x:v>
      </x:c>
      <x:c r="D15" t="n">
        <x:f>D14*(1-'01_SUPUESTOS'!Q5)+'01_SUPUESTOS'!P5</x:f>
        <x:v>0.36953708778764693</x:v>
      </x:c>
      <x:c r="E15" t="n">
        <x:f>SUM(B15:D15)</x:f>
        <x:v>6.927973852387552</x:v>
      </x:c>
      <x:c r="F15" t="n">
        <x:f>B15*'01_SUPUESTOS'!R5</x:f>
        <x:v>660.4374937484113</x:v>
      </x:c>
      <x:c r="G15" t="n">
        <x:f>C15*'01_SUPUESTOS'!S5</x:f>
        <x:v>812.9815931328233</x:v>
      </x:c>
      <x:c r="H15" t="n">
        <x:f>D15*'01_SUPUESTOS'!T5</x:f>
        <x:v>591.2593404602351</x:v>
      </x:c>
      <x:c r="I15" t="n">
        <x:f>SUM(F15:H15)</x:f>
        <x:v>2064.6784273414696</x:v>
      </x:c>
      <x:c r="J15" t="n">
        <x:f>B15*'01_SUPUESTOS'!B5+C15*'01_SUPUESTOS'!C5+D15*'01_SUPUESTOS'!D5</x:f>
        <x:v>8212.369195538875</x:v>
      </x:c>
      <x:c r="K15" t="n">
        <x:f>MAX(F15-B15*'01_SUPUESTOS'!E5,0)*'01_SUPUESTOS'!H5+MAX(G15-C15*'01_SUPUESTOS'!F5,0)*'01_SUPUESTOS'!I5+MAX(H15-D15*'01_SUPUESTOS'!G5,0)*'01_SUPUESTOS'!J5</x:f>
        <x:v>1140.8695696175855</x:v>
      </x:c>
      <x:c r="L15" t="n">
        <x:f>J15+K15</x:f>
        <x:v>9353.23876515646</x:v>
      </x:c>
      <x:c r="M15" t="n">
        <x:f>I15*'01_SUPUESTOS'!U5</x:f>
        <x:v>13.833345463187847</x:v>
      </x:c>
      <x:c r="N15" t="n">
        <x:f>E15*'01_SUPUESTOS'!W5</x:f>
        <x:v>415.67843114325314</x:v>
      </x:c>
      <x:c r="O15" t="n">
        <x:f>M15+N15</x:f>
        <x:v>429.511776606441</x:v>
      </x:c>
      <x:c r="P15" t="n">
        <x:f>SUM('01_SUPUESTOS'!V5,'01_SUPUESTOS'!X5:AB5)</x:f>
        <x:v>8112.08</x:v>
      </x:c>
      <x:c r="Q15" t="n">
        <x:f>L15-O15-P15</x:f>
        <x:v>811.6469885500192</x:v>
      </x:c>
      <x:c r="R15" t="n">
        <x:f>0</x:f>
        <x:v>0</x:v>
      </x:c>
      <x:c r="S15" t="n">
        <x:f>Q15-R15</x:f>
        <x:v>811.6469885500192</x:v>
      </x:c>
      <x:c r="T15" t="n">
        <x:f>T14+S15</x:f>
        <x:v>-62123.347438951074</x:v>
      </x:c>
      <x:c r="U15" t="n">
        <x:f>S15/(1+(1+'01_SUPUESTOS'!AF5)^(1/12)-1)^A15</x:f>
        <x:v>625.6126185026914</x:v>
      </x:c>
      <x:c r="V15" t="n">
        <x:f>IF(Q15&gt;=0,1,0)</x:f>
        <x:v>1</x:v>
      </x:c>
      <x:c r="W15" t="n">
        <x:f>IF(T15&gt;=0,1,0)</x:f>
        <x:v>0</x:v>
      </x:c>
    </x:row>
    <x:row r="16">
      <x:c r="A16" t="n">
        <x:f>15</x:f>
        <x:v>15</x:v>
      </x:c>
      <x:c r="B16" t="n">
        <x:f>B15*(1-'01_SUPUESTOS'!Q5)+'01_SUPUESTOS'!N5</x:f>
        <x:v>5.328682645180331</x:v>
      </x:c>
      <x:c r="C16" t="n">
        <x:f>C15*(1-'01_SUPUESTOS'!Q5)+'01_SUPUESTOS'!O5</x:f>
        <x:v>1.568585384127576</x:v>
      </x:c>
      <x:c r="D16" t="n">
        <x:f>D15*(1-'01_SUPUESTOS'!Q5)+'01_SUPUESTOS'!P5</x:f>
        <x:v>0.392146346031894</x:v>
      </x:c>
      <x:c r="E16" t="n">
        <x:f>SUM(B16:D16)</x:f>
        <x:v>7.289414375339802</x:v>
      </x:c>
      <x:c r="F16" t="n">
        <x:f>B16*'01_SUPUESTOS'!R5</x:f>
        <x:v>692.728743873443</x:v>
      </x:c>
      <x:c r="G16" t="n">
        <x:f>C16*'01_SUPUESTOS'!S5</x:f>
        <x:v>862.7219612701668</x:v>
      </x:c>
      <x:c r="H16" t="n">
        <x:f>D16*'01_SUPUESTOS'!T5</x:f>
        <x:v>627.4341536510304</x:v>
      </x:c>
      <x:c r="I16" t="n">
        <x:f>SUM(F16:H16)</x:f>
        <x:v>2182.8848587946404</x:v>
      </x:c>
      <x:c r="J16" t="n">
        <x:f>B16*'01_SUPUESTOS'!B5+C16*'01_SUPUESTOS'!C5+D16*'01_SUPUESTOS'!D5</x:f>
        <x:v>8671.121811628096</x:v>
      </x:c>
      <x:c r="K16" t="n">
        <x:f>MAX(F16-B16*'01_SUPUESTOS'!E5,0)*'01_SUPUESTOS'!H5+MAX(G16-C16*'01_SUPUESTOS'!F5,0)*'01_SUPUESTOS'!I5+MAX(H16-D16*'01_SUPUESTOS'!G5,0)*'01_SUPUESTOS'!J5</x:f>
        <x:v>1205.052178225234</x:v>
      </x:c>
      <x:c r="L16" t="n">
        <x:f>J16+K16</x:f>
        <x:v>9876.17398985333</x:v>
      </x:c>
      <x:c r="M16" t="n">
        <x:f>I16*'01_SUPUESTOS'!U5</x:f>
        <x:v>14.625328553924092</x:v>
      </x:c>
      <x:c r="N16" t="n">
        <x:f>E16*'01_SUPUESTOS'!W5</x:f>
        <x:v>437.3648625203881</x:v>
      </x:c>
      <x:c r="O16" t="n">
        <x:f>M16+N16</x:f>
        <x:v>451.9901910743122</x:v>
      </x:c>
      <x:c r="P16" t="n">
        <x:f>SUM('01_SUPUESTOS'!V5,'01_SUPUESTOS'!X5:AB5)</x:f>
        <x:v>8112.08</x:v>
      </x:c>
      <x:c r="Q16" t="n">
        <x:f>L16-O16-P16</x:f>
        <x:v>1312.1037987790187</x:v>
      </x:c>
      <x:c r="R16" t="n">
        <x:f>0</x:f>
        <x:v>0</x:v>
      </x:c>
      <x:c r="S16" t="n">
        <x:f>Q16-R16</x:f>
        <x:v>1312.1037987790187</x:v>
      </x:c>
      <x:c r="T16" t="n">
        <x:f>T15+S16</x:f>
        <x:v>-60811.243640172055</x:v>
      </x:c>
      <x:c r="U16" t="n">
        <x:f>S16/(1+(1+'01_SUPUESTOS'!AF5)^(1/12)-1)^A16</x:f>
        <x:v>992.7289262691606</x:v>
      </x:c>
      <x:c r="V16" t="n">
        <x:f>IF(Q16&gt;=0,1,0)</x:f>
        <x:v>1</x:v>
      </x:c>
      <x:c r="W16" t="n">
        <x:f>IF(T16&gt;=0,1,0)</x:f>
        <x:v>0</x:v>
      </x:c>
    </x:row>
    <x:row r="17">
      <x:c r="A17" t="n">
        <x:f>16</x:f>
        <x:v>16</x:v>
      </x:c>
      <x:c r="B17" t="n">
        <x:f>B16*(1-'01_SUPUESTOS'!Q5)+'01_SUPUESTOS'!N5</x:f>
        <x:v>5.572108992276724</x:v>
      </x:c>
      <x:c r="C17" t="n">
        <x:f>C16*(1-'01_SUPUESTOS'!Q5)+'01_SUPUESTOS'!O5</x:f>
        <x:v>1.6572136764450245</x:v>
      </x:c>
      <x:c r="D17" t="n">
        <x:f>D16*(1-'01_SUPUESTOS'!Q5)+'01_SUPUESTOS'!P5</x:f>
        <x:v>0.4143034191112561</x:v>
      </x:c>
      <x:c r="E17" t="n">
        <x:f>SUM(B17:D17)</x:f>
        <x:v>7.643626087833004</x:v>
      </x:c>
      <x:c r="F17" t="n">
        <x:f>B17*'01_SUPUESTOS'!R5</x:f>
        <x:v>724.3741689959741</x:v>
      </x:c>
      <x:c r="G17" t="n">
        <x:f>C17*'01_SUPUESTOS'!S5</x:f>
        <x:v>911.4675220447634</x:v>
      </x:c>
      <x:c r="H17" t="n">
        <x:f>D17*'01_SUPUESTOS'!T5</x:f>
        <x:v>662.8854705780097</x:v>
      </x:c>
      <x:c r="I17" t="n">
        <x:f>SUM(F17:H17)</x:f>
        <x:v>2298.7271616187472</x:v>
      </x:c>
      <x:c r="J17" t="n">
        <x:f>B17*'01_SUPUESTOS'!B5+C17*'01_SUPUESTOS'!C5+D17*'01_SUPUESTOS'!D5</x:f>
        <x:v>9120.699375395534</x:v>
      </x:c>
      <x:c r="K17" t="n">
        <x:f>MAX(F17-B17*'01_SUPUESTOS'!E5,0)*'01_SUPUESTOS'!H5+MAX(G17-C17*'01_SUPUESTOS'!F5,0)*'01_SUPUESTOS'!I5+MAX(H17-D17*'01_SUPUESTOS'!G5,0)*'01_SUPUESTOS'!J5</x:f>
        <x:v>1267.951134660728</x:v>
      </x:c>
      <x:c r="L17" t="n">
        <x:f>J17+K17</x:f>
        <x:v>10388.650510056263</x:v>
      </x:c>
      <x:c r="M17" t="n">
        <x:f>I17*'01_SUPUESTOS'!U5</x:f>
        <x:v>15.401471982845607</x:v>
      </x:c>
      <x:c r="N17" t="n">
        <x:f>E17*'01_SUPUESTOS'!W5</x:f>
        <x:v>458.6175652699803</x:v>
      </x:c>
      <x:c r="O17" t="n">
        <x:f>M17+N17</x:f>
        <x:v>474.0190372528259</x:v>
      </x:c>
      <x:c r="P17" t="n">
        <x:f>SUM('01_SUPUESTOS'!V5,'01_SUPUESTOS'!X5:AB5)</x:f>
        <x:v>8112.08</x:v>
      </x:c>
      <x:c r="Q17" t="n">
        <x:f>L17-O17-P17</x:f>
        <x:v>1802.5514728034377</x:v>
      </x:c>
      <x:c r="R17" t="n">
        <x:f>0</x:f>
        <x:v>0</x:v>
      </x:c>
      <x:c r="S17" t="n">
        <x:f>Q17-R17</x:f>
        <x:v>1802.5514728034377</x:v>
      </x:c>
      <x:c r="T17" t="n">
        <x:f>T16+S17</x:f>
        <x:v>-59008.692167368616</x:v>
      </x:c>
      <x:c r="U17" t="n">
        <x:f>S17/(1+(1+'01_SUPUESTOS'!AF5)^(1/12)-1)^A17</x:f>
        <x:v>1338.6724461082756</x:v>
      </x:c>
      <x:c r="V17" t="n">
        <x:f>IF(Q17&gt;=0,1,0)</x:f>
        <x:v>1</x:v>
      </x:c>
      <x:c r="W17" t="n">
        <x:f>IF(T17&gt;=0,1,0)</x:f>
        <x:v>0</x:v>
      </x:c>
    </x:row>
    <x:row r="18">
      <x:c r="A18" t="n">
        <x:f>17</x:f>
        <x:v>17</x:v>
      </x:c>
      <x:c r="B18" t="n">
        <x:f>B17*(1-'01_SUPUESTOS'!Q5)+'01_SUPUESTOS'!N5</x:f>
        <x:v>5.810666812431189</x:v>
      </x:c>
      <x:c r="C18" t="n">
        <x:f>C17*(1-'01_SUPUESTOS'!Q5)+'01_SUPUESTOS'!O5</x:f>
        <x:v>1.7440694029161241</x:v>
      </x:c>
      <x:c r="D18" t="n">
        <x:f>D17*(1-'01_SUPUESTOS'!Q5)+'01_SUPUESTOS'!P5</x:f>
        <x:v>0.43601735072903103</x:v>
      </x:c>
      <x:c r="E18" t="n">
        <x:f>SUM(B18:D18)</x:f>
        <x:v>7.990753566076345</x:v>
      </x:c>
      <x:c r="F18" t="n">
        <x:f>B18*'01_SUPUESTOS'!R5</x:f>
        <x:v>755.3866856160546</x:v>
      </x:c>
      <x:c r="G18" t="n">
        <x:f>C18*'01_SUPUESTOS'!S5</x:f>
        <x:v>959.2381716038683</x:v>
      </x:c>
      <x:c r="H18" t="n">
        <x:f>D18*'01_SUPUESTOS'!T5</x:f>
        <x:v>697.6277611664497</x:v>
      </x:c>
      <x:c r="I18" t="n">
        <x:f>SUM(F18:H18)</x:f>
        <x:v>2412.2526183863724</x:v>
      </x:c>
      <x:c r="J18" t="n">
        <x:f>B18*'01_SUPUESTOS'!B5+C18*'01_SUPUESTOS'!C5+D18*'01_SUPUESTOS'!D5</x:f>
        <x:v>9561.285387887623</x:v>
      </x:c>
      <x:c r="K18" t="n">
        <x:f>MAX(F18-B18*'01_SUPUESTOS'!E5,0)*'01_SUPUESTOS'!H5+MAX(G18-C18*'01_SUPUESTOS'!F5,0)*'01_SUPUESTOS'!I5+MAX(H18-D18*'01_SUPUESTOS'!G5,0)*'01_SUPUESTOS'!J5</x:f>
        <x:v>1329.592111967515</x:v>
      </x:c>
      <x:c r="L18" t="n">
        <x:f>J18+K18</x:f>
        <x:v>10890.877499855138</x:v>
      </x:c>
      <x:c r="M18" t="n">
        <x:f>I18*'01_SUPUESTOS'!U5</x:f>
        <x:v>16.162092543188695</x:v>
      </x:c>
      <x:c r="N18" t="n">
        <x:f>E18*'01_SUPUESTOS'!W5</x:f>
        <x:v>479.44521396458066</x:v>
      </x:c>
      <x:c r="O18" t="n">
        <x:f>M18+N18</x:f>
        <x:v>495.60730650776935</x:v>
      </x:c>
      <x:c r="P18" t="n">
        <x:f>SUM('01_SUPUESTOS'!V5,'01_SUPUESTOS'!X5:AB5)</x:f>
        <x:v>8112.08</x:v>
      </x:c>
      <x:c r="Q18" t="n">
        <x:f>L18-O18-P18</x:f>
        <x:v>2283.190193347369</x:v>
      </x:c>
      <x:c r="R18" t="n">
        <x:f>0</x:f>
        <x:v>0</x:v>
      </x:c>
      <x:c r="S18" t="n">
        <x:f>Q18-R18</x:f>
        <x:v>2283.190193347369</x:v>
      </x:c>
      <x:c r="T18" t="n">
        <x:f>T17+S18</x:f>
        <x:v>-56725.501974021245</x:v>
      </x:c>
      <x:c r="U18" t="n">
        <x:f>S18/(1+(1+'01_SUPUESTOS'!AF5)^(1/12)-1)^A18</x:f>
        <x:v>1664.3815975648101</x:v>
      </x:c>
      <x:c r="V18" t="n">
        <x:f>IF(Q18&gt;=0,1,0)</x:f>
        <x:v>1</x:v>
      </x:c>
      <x:c r="W18" t="n">
        <x:f>IF(T18&gt;=0,1,0)</x:f>
        <x:v>0</x:v>
      </x:c>
    </x:row>
    <x:row r="19">
      <x:c r="A19" t="n">
        <x:f>18</x:f>
        <x:v>18</x:v>
      </x:c>
      <x:c r="B19" t="n">
        <x:f>B18*(1-'01_SUPUESTOS'!Q5)+'01_SUPUESTOS'!N5</x:f>
        <x:v>6.044453476182565</x:v>
      </x:c>
      <x:c r="C19" t="n">
        <x:f>C18*(1-'01_SUPUESTOS'!Q5)+'01_SUPUESTOS'!O5</x:f>
        <x:v>1.8291880148578015</x:v>
      </x:c>
      <x:c r="D19" t="n">
        <x:f>D18*(1-'01_SUPUESTOS'!Q5)+'01_SUPUESTOS'!P5</x:f>
        <x:v>0.45729700371445037</x:v>
      </x:c>
      <x:c r="E19" t="n">
        <x:f>SUM(B19:D19)</x:f>
        <x:v>8.330938494754816</x:v>
      </x:c>
      <x:c r="F19" t="n">
        <x:f>B19*'01_SUPUESTOS'!R5</x:f>
        <x:v>785.7789519037335</x:v>
      </x:c>
      <x:c r="G19" t="n">
        <x:f>C19*'01_SUPUESTOS'!S5</x:f>
        <x:v>1006.0534081717908</x:v>
      </x:c>
      <x:c r="H19" t="n">
        <x:f>D19*'01_SUPUESTOS'!T5</x:f>
        <x:v>731.6752059431205</x:v>
      </x:c>
      <x:c r="I19" t="n">
        <x:f>SUM(F19:H19)</x:f>
        <x:v>2523.507566018645</x:v>
      </x:c>
      <x:c r="J19" t="n">
        <x:f>B19*'01_SUPUESTOS'!B5+C19*'01_SUPUESTOS'!C5+D19*'01_SUPUESTOS'!D5</x:f>
        <x:v>9993.05968012987</x:v>
      </x:c>
      <x:c r="K19" t="n">
        <x:f>MAX(F19-B19*'01_SUPUESTOS'!E5,0)*'01_SUPUESTOS'!H5+MAX(G19-C19*'01_SUPUESTOS'!F5,0)*'01_SUPUESTOS'!I5+MAX(H19-D19*'01_SUPUESTOS'!G5,0)*'01_SUPUESTOS'!J5</x:f>
        <x:v>1390.0002697281648</x:v>
      </x:c>
      <x:c r="L19" t="n">
        <x:f>J19+K19</x:f>
        <x:v>11383.059949858036</x:v>
      </x:c>
      <x:c r="M19" t="n">
        <x:f>I19*'01_SUPUESTOS'!U5</x:f>
        <x:v>16.90750069232492</x:v>
      </x:c>
      <x:c r="N19" t="n">
        <x:f>E19*'01_SUPUESTOS'!W5</x:f>
        <x:v>499.856309685289</x:v>
      </x:c>
      <x:c r="O19" t="n">
        <x:f>M19+N19</x:f>
        <x:v>516.7638103776139</x:v>
      </x:c>
      <x:c r="P19" t="n">
        <x:f>SUM('01_SUPUESTOS'!V5,'01_SUPUESTOS'!X5:AB5)</x:f>
        <x:v>8112.08</x:v>
      </x:c>
      <x:c r="Q19" t="n">
        <x:f>L19-O19-P19</x:f>
        <x:v>2754.2161394804225</x:v>
      </x:c>
      <x:c r="R19" t="n">
        <x:f>0</x:f>
        <x:v>0</x:v>
      </x:c>
      <x:c r="S19" t="n">
        <x:f>Q19-R19</x:f>
        <x:v>2754.2161394804225</x:v>
      </x:c>
      <x:c r="T19" t="n">
        <x:f>T18+S19</x:f>
        <x:v>-53971.285834540824</x:v>
      </x:c>
      <x:c r="U19" t="n">
        <x:f>S19/(1+(1+'01_SUPUESTOS'!AF5)^(1/12)-1)^A19</x:f>
        <x:v>1970.75664403369</x:v>
      </x:c>
      <x:c r="V19" t="n">
        <x:f>IF(Q19&gt;=0,1,0)</x:f>
        <x:v>1</x:v>
      </x:c>
      <x:c r="W19" t="n">
        <x:f>IF(T19&gt;=0,1,0)</x:f>
        <x:v>0</x:v>
      </x:c>
    </x:row>
    <x:row r="20">
      <x:c r="A20" t="n">
        <x:f>19</x:f>
        <x:v>19</x:v>
      </x:c>
      <x:c r="B20" t="n">
        <x:f>B19*(1-'01_SUPUESTOS'!Q5)+'01_SUPUESTOS'!N5</x:f>
        <x:v>6.273564406658913</x:v>
      </x:c>
      <x:c r="C20" t="n">
        <x:f>C19*(1-'01_SUPUESTOS'!Q5)+'01_SUPUESTOS'!O5</x:f>
        <x:v>1.9126042545606454</x:v>
      </x:c>
      <x:c r="D20" t="n">
        <x:f>D19*(1-'01_SUPUESTOS'!Q5)+'01_SUPUESTOS'!P5</x:f>
        <x:v>0.47815106364016136</x:v>
      </x:c>
      <x:c r="E20" t="n">
        <x:f>SUM(B20:D20)</x:f>
        <x:v>8.66431972485972</x:v>
      </x:c>
      <x:c r="F20" t="n">
        <x:f>B20*'01_SUPUESTOS'!R5</x:f>
        <x:v>815.5633728656587</x:v>
      </x:c>
      <x:c r="G20" t="n">
        <x:f>C20*'01_SUPUESTOS'!S5</x:f>
        <x:v>1051.932340008355</x:v>
      </x:c>
      <x:c r="H20" t="n">
        <x:f>D20*'01_SUPUESTOS'!T5</x:f>
        <x:v>765.0417018242582</x:v>
      </x:c>
      <x:c r="I20" t="n">
        <x:f>SUM(F20:H20)</x:f>
        <x:v>2632.5374146982717</x:v>
      </x:c>
      <x:c r="J20" t="n">
        <x:f>B20*'01_SUPUESTOS'!B5+C20*'01_SUPUESTOS'!C5+D20*'01_SUPUESTOS'!D5</x:f>
        <x:v>10416.198486527272</x:v>
      </x:c>
      <x:c r="K20" t="n">
        <x:f>MAX(F20-B20*'01_SUPUESTOS'!E5,0)*'01_SUPUESTOS'!H5+MAX(G20-C20*'01_SUPUESTOS'!F5,0)*'01_SUPUESTOS'!I5+MAX(H20-D20*'01_SUPUESTOS'!G5,0)*'01_SUPUESTOS'!J5</x:f>
        <x:v>1449.2002643336014</x:v>
      </x:c>
      <x:c r="L20" t="n">
        <x:f>J20+K20</x:f>
        <x:v>11865.398750860873</x:v>
      </x:c>
      <x:c r="M20" t="n">
        <x:f>I20*'01_SUPUESTOS'!U5</x:f>
        <x:v>17.63800067847842</x:v>
      </x:c>
      <x:c r="N20" t="n">
        <x:f>E20*'01_SUPUESTOS'!W5</x:f>
        <x:v>519.8591834915832</x:v>
      </x:c>
      <x:c r="O20" t="n">
        <x:f>M20+N20</x:f>
        <x:v>537.4971841700616</x:v>
      </x:c>
      <x:c r="P20" t="n">
        <x:f>SUM('01_SUPUESTOS'!V5,'01_SUPUESTOS'!X5:AB5)</x:f>
        <x:v>8112.08</x:v>
      </x:c>
      <x:c r="Q20" t="n">
        <x:f>L20-O20-P20</x:f>
        <x:v>3215.8215666908127</x:v>
      </x:c>
      <x:c r="R20" t="n">
        <x:f>0</x:f>
        <x:v>0</x:v>
      </x:c>
      <x:c r="S20" t="n">
        <x:f>Q20-R20</x:f>
        <x:v>3215.8215666908127</x:v>
      </x:c>
      <x:c r="T20" t="n">
        <x:f>T19+S20</x:f>
        <x:v>-50755.46426785001</x:v>
      </x:c>
      <x:c r="U20" t="n">
        <x:f>S20/(1+(1+'01_SUPUESTOS'!AF5)^(1/12)-1)^A20</x:f>
        <x:v>2258.6611898301962</x:v>
      </x:c>
      <x:c r="V20" t="n">
        <x:f>IF(Q20&gt;=0,1,0)</x:f>
        <x:v>1</x:v>
      </x:c>
      <x:c r="W20" t="n">
        <x:f>IF(T20&gt;=0,1,0)</x:f>
        <x:v>0</x:v>
      </x:c>
    </x:row>
    <x:row r="21">
      <x:c r="A21" t="n">
        <x:f>20</x:f>
        <x:v>20</x:v>
      </x:c>
      <x:c r="B21" t="n">
        <x:f>B20*(1-'01_SUPUESTOS'!Q5)+'01_SUPUESTOS'!N5</x:f>
        <x:v>6.498093118525734</x:v>
      </x:c>
      <x:c r="C21" t="n">
        <x:f>C20*(1-'01_SUPUESTOS'!Q5)+'01_SUPUESTOS'!O5</x:f>
        <x:v>1.9943521694694324</x:v>
      </x:c>
      <x:c r="D21" t="n">
        <x:f>D20*(1-'01_SUPUESTOS'!Q5)+'01_SUPUESTOS'!P5</x:f>
        <x:v>0.4985880423673581</x:v>
      </x:c>
      <x:c r="E21" t="n">
        <x:f>SUM(B21:D21)</x:f>
        <x:v>8.991033330362525</x:v>
      </x:c>
      <x:c r="F21" t="n">
        <x:f>B21*'01_SUPUESTOS'!R5</x:f>
        <x:v>844.7521054083454</x:v>
      </x:c>
      <x:c r="G21" t="n">
        <x:f>C21*'01_SUPUESTOS'!S5</x:f>
        <x:v>1096.8936932081879</x:v>
      </x:c>
      <x:c r="H21" t="n">
        <x:f>D21*'01_SUPUESTOS'!T5</x:f>
        <x:v>797.7408677877729</x:v>
      </x:c>
      <x:c r="I21" t="n">
        <x:f>SUM(F21:H21)</x:f>
        <x:v>2739.386666404306</x:v>
      </x:c>
      <x:c r="J21" t="n">
        <x:f>B21*'01_SUPUESTOS'!B5+C21*'01_SUPUESTOS'!C5+D21*'01_SUPUESTOS'!D5</x:f>
        <x:v>10830.874516796726</x:v>
      </x:c>
      <x:c r="K21" t="n">
        <x:f>MAX(F21-B21*'01_SUPUESTOS'!E5,0)*'01_SUPUESTOS'!H5+MAX(G21-C21*'01_SUPUESTOS'!F5,0)*'01_SUPUESTOS'!I5+MAX(H21-D21*'01_SUPUESTOS'!G5,0)*'01_SUPUESTOS'!J5</x:f>
        <x:v>1507.2162590469288</x:v>
      </x:c>
      <x:c r="L21" t="n">
        <x:f>J21+K21</x:f>
        <x:v>12338.090775843655</x:v>
      </x:c>
      <x:c r="M21" t="n">
        <x:f>I21*'01_SUPUESTOS'!U5</x:f>
        <x:v>18.353890664908853</x:v>
      </x:c>
      <x:c r="N21" t="n">
        <x:f>E21*'01_SUPUESTOS'!W5</x:f>
        <x:v>539.4619998217515</x:v>
      </x:c>
      <x:c r="O21" t="n">
        <x:f>M21+N21</x:f>
        <x:v>557.8158904866604</x:v>
      </x:c>
      <x:c r="P21" t="n">
        <x:f>SUM('01_SUPUESTOS'!V5,'01_SUPUESTOS'!X5:AB5)</x:f>
        <x:v>8112.08</x:v>
      </x:c>
      <x:c r="Q21" t="n">
        <x:f>L21-O21-P21</x:f>
        <x:v>3668.1948853569957</x:v>
      </x:c>
      <x:c r="R21" t="n">
        <x:f>0</x:f>
        <x:v>0</x:v>
      </x:c>
      <x:c r="S21" t="n">
        <x:f>Q21-R21</x:f>
        <x:v>3668.1948853569957</x:v>
      </x:c>
      <x:c r="T21" t="n">
        <x:f>T20+S21</x:f>
        <x:v>-47087.26938249302</x:v>
      </x:c>
      <x:c r="U21" t="n">
        <x:f>S21/(1+(1+'01_SUPUESTOS'!AF5)^(1/12)-1)^A21</x:f>
        <x:v>2528.9236194594114</x:v>
      </x:c>
      <x:c r="V21" t="n">
        <x:f>IF(Q21&gt;=0,1,0)</x:f>
        <x:v>1</x:v>
      </x:c>
      <x:c r="W21" t="n">
        <x:f>IF(T21&gt;=0,1,0)</x:f>
        <x:v>0</x:v>
      </x:c>
    </x:row>
    <x:row r="22">
      <x:c r="A22" t="n">
        <x:f>21</x:f>
        <x:v>21</x:v>
      </x:c>
      <x:c r="B22" t="n">
        <x:f>B21*(1-'01_SUPUESTOS'!Q5)+'01_SUPUESTOS'!N5</x:f>
        <x:v>6.7181312561552184</x:v>
      </x:c>
      <x:c r="C22" t="n">
        <x:f>C21*(1-'01_SUPUESTOS'!Q5)+'01_SUPUESTOS'!O5</x:f>
        <x:v>2.0744651260800437</x:v>
      </x:c>
      <x:c r="D22" t="n">
        <x:f>D21*(1-'01_SUPUESTOS'!Q5)+'01_SUPUESTOS'!P5</x:f>
        <x:v>0.5186162815200109</x:v>
      </x:c>
      <x:c r="E22" t="n">
        <x:f>SUM(B22:D22)</x:f>
        <x:v>9.311212663755272</x:v>
      </x:c>
      <x:c r="F22" t="n">
        <x:f>B22*'01_SUPUESTOS'!R5</x:f>
        <x:v>873.3570633001784</x:v>
      </x:c>
      <x:c r="G22" t="n">
        <x:f>C22*'01_SUPUESTOS'!S5</x:f>
        <x:v>1140.9558193440241</x:v>
      </x:c>
      <x:c r="H22" t="n">
        <x:f>D22*'01_SUPUESTOS'!T5</x:f>
        <x:v>829.7860504320175</x:v>
      </x:c>
      <x:c r="I22" t="n">
        <x:f>SUM(F22:H22)</x:f>
        <x:v>2844.09893307622</x:v>
      </x:c>
      <x:c r="J22" t="n">
        <x:f>B22*'01_SUPUESTOS'!B5+C22*'01_SUPUESTOS'!C5+D22*'01_SUPUESTOS'!D5</x:f>
        <x:v>11237.257026460791</x:v>
      </x:c>
      <x:c r="K22" t="n">
        <x:f>MAX(F22-B22*'01_SUPUESTOS'!E5,0)*'01_SUPUESTOS'!H5+MAX(G22-C22*'01_SUPUESTOS'!F5,0)*'01_SUPUESTOS'!I5+MAX(H22-D22*'01_SUPUESTOS'!G5,0)*'01_SUPUESTOS'!J5</x:f>
        <x:v>1564.0719338659906</x:v>
      </x:c>
      <x:c r="L22" t="n">
        <x:f>J22+K22</x:f>
        <x:v>12801.328960326782</x:v>
      </x:c>
      <x:c r="M22" t="n">
        <x:f>I22*'01_SUPUESTOS'!U5</x:f>
        <x:v>19.055462851610674</x:v>
      </x:c>
      <x:c r="N22" t="n">
        <x:f>E22*'01_SUPUESTOS'!W5</x:f>
        <x:v>558.6727598253163</x:v>
      </x:c>
      <x:c r="O22" t="n">
        <x:f>M22+N22</x:f>
        <x:v>577.728222676927</x:v>
      </x:c>
      <x:c r="P22" t="n">
        <x:f>SUM('01_SUPUESTOS'!V5,'01_SUPUESTOS'!X5:AB5)</x:f>
        <x:v>8112.08</x:v>
      </x:c>
      <x:c r="Q22" t="n">
        <x:f>L22-O22-P22</x:f>
        <x:v>4111.520737649855</x:v>
      </x:c>
      <x:c r="R22" t="n">
        <x:f>0</x:f>
        <x:v>0</x:v>
      </x:c>
      <x:c r="S22" t="n">
        <x:f>Q22-R22</x:f>
        <x:v>4111.520737649855</x:v>
      </x:c>
      <x:c r="T22" t="n">
        <x:f>T21+S22</x:f>
        <x:v>-42975.74864484316</x:v>
      </x:c>
      <x:c r="U22" t="n">
        <x:f>S22/(1+(1+'01_SUPUESTOS'!AF5)^(1/12)-1)^A22</x:f>
        <x:v>2782.338481299788</x:v>
      </x:c>
      <x:c r="V22" t="n">
        <x:f>IF(Q22&gt;=0,1,0)</x:f>
        <x:v>1</x:v>
      </x:c>
      <x:c r="W22" t="n">
        <x:f>IF(T22&gt;=0,1,0)</x:f>
        <x:v>0</x:v>
      </x:c>
    </x:row>
    <x:row r="23">
      <x:c r="A23" t="n">
        <x:f>22</x:f>
        <x:v>22</x:v>
      </x:c>
      <x:c r="B23" t="n">
        <x:f>B22*(1-'01_SUPUESTOS'!Q5)+'01_SUPUESTOS'!N5</x:f>
        <x:v>6.933768631032113</x:v>
      </x:c>
      <x:c r="C23" t="n">
        <x:f>C22*(1-'01_SUPUESTOS'!Q5)+'01_SUPUESTOS'!O5</x:f>
        <x:v>2.152975823558443</x:v>
      </x:c>
      <x:c r="D23" t="n">
        <x:f>D22*(1-'01_SUPUESTOS'!Q5)+'01_SUPUESTOS'!P5</x:f>
        <x:v>0.5382439558896107</x:v>
      </x:c>
      <x:c r="E23" t="n">
        <x:f>SUM(B23:D23)</x:f>
        <x:v>9.624988410480167</x:v>
      </x:c>
      <x:c r="F23" t="n">
        <x:f>B23*'01_SUPUESTOS'!R5</x:f>
        <x:v>901.3899220341748</x:v>
      </x:c>
      <x:c r="G23" t="n">
        <x:f>C23*'01_SUPUESTOS'!S5</x:f>
        <x:v>1184.1367029571436</x:v>
      </x:c>
      <x:c r="H23" t="n">
        <x:f>D23*'01_SUPUESTOS'!T5</x:f>
        <x:v>861.1903294233772</x:v>
      </x:c>
      <x:c r="I23" t="n">
        <x:f>SUM(F23:H23)</x:f>
        <x:v>2946.7169544146955</x:v>
      </x:c>
      <x:c r="J23" t="n">
        <x:f>B23*'01_SUPUESTOS'!B5+C23*'01_SUPUESTOS'!C5+D23*'01_SUPUESTOS'!D5</x:f>
        <x:v>11635.511885931573</x:v>
      </x:c>
      <x:c r="K23" t="n">
        <x:f>MAX(F23-B23*'01_SUPUESTOS'!E5,0)*'01_SUPUESTOS'!H5+MAX(G23-C23*'01_SUPUESTOS'!F5,0)*'01_SUPUESTOS'!I5+MAX(H23-D23*'01_SUPUESTOS'!G5,0)*'01_SUPUESTOS'!J5</x:f>
        <x:v>1619.7904951886712</x:v>
      </x:c>
      <x:c r="L23" t="n">
        <x:f>J23+K23</x:f>
        <x:v>13255.302381120244</x:v>
      </x:c>
      <x:c r="M23" t="n">
        <x:f>I23*'01_SUPUESTOS'!U5</x:f>
        <x:v>19.74300359457846</x:v>
      </x:c>
      <x:c r="N23" t="n">
        <x:f>E23*'01_SUPUESTOS'!W5</x:f>
        <x:v>577.49930462881</x:v>
      </x:c>
      <x:c r="O23" t="n">
        <x:f>M23+N23</x:f>
        <x:v>597.2423082233885</x:v>
      </x:c>
      <x:c r="P23" t="n">
        <x:f>SUM('01_SUPUESTOS'!V5,'01_SUPUESTOS'!X5:AB5)</x:f>
        <x:v>8112.08</x:v>
      </x:c>
      <x:c r="Q23" t="n">
        <x:f>L23-O23-P23</x:f>
        <x:v>4545.980072896855</x:v>
      </x:c>
      <x:c r="R23" t="n">
        <x:f>0</x:f>
        <x:v>0</x:v>
      </x:c>
      <x:c r="S23" t="n">
        <x:f>Q23-R23</x:f>
        <x:v>4545.980072896855</x:v>
      </x:c>
      <x:c r="T23" t="n">
        <x:f>T22+S23</x:f>
        <x:v>-38429.768571946304</x:v>
      </x:c>
      <x:c r="U23" t="n">
        <x:f>S23/(1+(1+'01_SUPUESTOS'!AF5)^(1/12)-1)^A23</x:f>
        <x:v>3019.6678178311836</x:v>
      </x:c>
      <x:c r="V23" t="n">
        <x:f>IF(Q23&gt;=0,1,0)</x:f>
        <x:v>1</x:v>
      </x:c>
      <x:c r="W23" t="n">
        <x:f>IF(T23&gt;=0,1,0)</x:f>
        <x:v>0</x:v>
      </x:c>
    </x:row>
    <x:row r="24">
      <x:c r="A24" t="n">
        <x:f>23</x:f>
        <x:v>23</x:v>
      </x:c>
      <x:c r="B24" t="n">
        <x:f>B23*(1-'01_SUPUESTOS'!Q5)+'01_SUPUESTOS'!N5</x:f>
        <x:v>7.145093258411471</x:v>
      </x:c>
      <x:c r="C24" t="n">
        <x:f>C23*(1-'01_SUPUESTOS'!Q5)+'01_SUPUESTOS'!O5</x:f>
        <x:v>2.229916307087274</x:v>
      </x:c>
      <x:c r="D24" t="n">
        <x:f>D23*(1-'01_SUPUESTOS'!Q5)+'01_SUPUESTOS'!P5</x:f>
        <x:v>0.5574790767718185</x:v>
      </x:c>
      <x:c r="E24" t="n">
        <x:f>SUM(B24:D24)</x:f>
        <x:v>9.932488642270563</x:v>
      </x:c>
      <x:c r="F24" t="n">
        <x:f>B24*'01_SUPUESTOS'!R5</x:f>
        <x:v>928.8621235934912</x:v>
      </x:c>
      <x:c r="G24" t="n">
        <x:f>C24*'01_SUPUESTOS'!S5</x:f>
        <x:v>1226.4539688980008</x:v>
      </x:c>
      <x:c r="H24" t="n">
        <x:f>D24*'01_SUPUESTOS'!T5</x:f>
        <x:v>891.9665228349096</x:v>
      </x:c>
      <x:c r="I24" t="n">
        <x:f>SUM(F24:H24)</x:f>
        <x:v>3047.2826153264014</x:v>
      </x:c>
      <x:c r="J24" t="n">
        <x:f>B24*'01_SUPUESTOS'!B5+C24*'01_SUPUESTOS'!C5+D24*'01_SUPUESTOS'!D5</x:f>
        <x:v>12025.801648212942</x:v>
      </x:c>
      <x:c r="K24" t="n">
        <x:f>MAX(F24-B24*'01_SUPUESTOS'!E5,0)*'01_SUPUESTOS'!H5+MAX(G24-C24*'01_SUPUESTOS'!F5,0)*'01_SUPUESTOS'!I5+MAX(H24-D24*'01_SUPUESTOS'!G5,0)*'01_SUPUESTOS'!J5</x:f>
        <x:v>1674.394685284896</x:v>
      </x:c>
      <x:c r="L24" t="n">
        <x:f>J24+K24</x:f>
        <x:v>13700.196333497839</x:v>
      </x:c>
      <x:c r="M24" t="n">
        <x:f>I24*'01_SUPUESTOS'!U5</x:f>
        <x:v>20.41679352268689</x:v>
      </x:c>
      <x:c r="N24" t="n">
        <x:f>E24*'01_SUPUESTOS'!W5</x:f>
        <x:v>595.9493185362338</x:v>
      </x:c>
      <x:c r="O24" t="n">
        <x:f>M24+N24</x:f>
        <x:v>616.3661120589207</x:v>
      </x:c>
      <x:c r="P24" t="n">
        <x:f>SUM('01_SUPUESTOS'!V5,'01_SUPUESTOS'!X5:AB5)</x:f>
        <x:v>8112.08</x:v>
      </x:c>
      <x:c r="Q24" t="n">
        <x:f>L24-O24-P24</x:f>
        <x:v>4971.750221438919</x:v>
      </x:c>
      <x:c r="R24" t="n">
        <x:f>0</x:f>
        <x:v>0</x:v>
      </x:c>
      <x:c r="S24" t="n">
        <x:f>Q24-R24</x:f>
        <x:v>4971.750221438919</x:v>
      </x:c>
      <x:c r="T24" t="n">
        <x:f>T23+S24</x:f>
        <x:v>-33458.01835050739</x:v>
      </x:c>
      <x:c r="U24" t="n">
        <x:f>S24/(1+(1+'01_SUPUESTOS'!AF5)^(1/12)-1)^A24</x:f>
        <x:v>3241.642444456337</x:v>
      </x:c>
      <x:c r="V24" t="n">
        <x:f>IF(Q24&gt;=0,1,0)</x:f>
        <x:v>1</x:v>
      </x:c>
      <x:c r="W24" t="n">
        <x:f>IF(T24&gt;=0,1,0)</x:f>
        <x:v>0</x:v>
      </x:c>
    </x:row>
    <x:row r="25">
      <x:c r="A25" t="n">
        <x:f>24</x:f>
        <x:v>24</x:v>
      </x:c>
      <x:c r="B25" t="n">
        <x:f>B24*(1-'01_SUPUESTOS'!Q5)+'01_SUPUESTOS'!N5</x:f>
        <x:v>7.352191393243241</x:v>
      </x:c>
      <x:c r="C25" t="n">
        <x:f>C24*(1-'01_SUPUESTOS'!Q5)+'01_SUPUESTOS'!O5</x:f>
        <x:v>2.305317980945529</x:v>
      </x:c>
      <x:c r="D25" t="n">
        <x:f>D24*(1-'01_SUPUESTOS'!Q5)+'01_SUPUESTOS'!P5</x:f>
        <x:v>0.5763294952363822</x:v>
      </x:c>
      <x:c r="E25" t="n">
        <x:f>SUM(B25:D25)</x:f>
        <x:v>10.233838869425153</x:v>
      </x:c>
      <x:c r="F25" t="n">
        <x:f>B25*'01_SUPUESTOS'!R5</x:f>
        <x:v>955.7848811216213</x:v>
      </x:c>
      <x:c r="G25" t="n">
        <x:f>C25*'01_SUPUESTOS'!S5</x:f>
        <x:v>1267.9248895200408</x:v>
      </x:c>
      <x:c r="H25" t="n">
        <x:f>D25*'01_SUPUESTOS'!T5</x:f>
        <x:v>922.1271923782116</x:v>
      </x:c>
      <x:c r="I25" t="n">
        <x:f>SUM(F25:H25)</x:f>
        <x:v>3145.8369630198736</x:v>
      </x:c>
      <x:c r="J25" t="n">
        <x:f>B25*'01_SUPUESTOS'!B5+C25*'01_SUPUESTOS'!C5+D25*'01_SUPUESTOS'!D5</x:f>
        <x:v>12408.285615248684</x:v>
      </x:c>
      <x:c r="K25" t="n">
        <x:f>MAX(F25-B25*'01_SUPUESTOS'!E5,0)*'01_SUPUESTOS'!H5+MAX(G25-C25*'01_SUPUESTOS'!F5,0)*'01_SUPUESTOS'!I5+MAX(H25-D25*'01_SUPUESTOS'!G5,0)*'01_SUPUESTOS'!J5</x:f>
        <x:v>1727.9067915791989</x:v>
      </x:c>
      <x:c r="L25" t="n">
        <x:f>J25+K25</x:f>
        <x:v>14136.192406827882</x:v>
      </x:c>
      <x:c r="M25" t="n">
        <x:f>I25*'01_SUPUESTOS'!U5</x:f>
        <x:v>21.077107652233153</x:v>
      </x:c>
      <x:c r="N25" t="n">
        <x:f>E25*'01_SUPUESTOS'!W5</x:f>
        <x:v>614.0303321655092</x:v>
      </x:c>
      <x:c r="O25" t="n">
        <x:f>M25+N25</x:f>
        <x:v>635.1074398177424</x:v>
      </x:c>
      <x:c r="P25" t="n">
        <x:f>SUM('01_SUPUESTOS'!V5,'01_SUPUESTOS'!X5:AB5)</x:f>
        <x:v>8112.08</x:v>
      </x:c>
      <x:c r="Q25" t="n">
        <x:f>L25-O25-P25</x:f>
        <x:v>5389.00496701014</x:v>
      </x:c>
      <x:c r="R25" t="n">
        <x:f>0</x:f>
        <x:v>0</x:v>
      </x:c>
      <x:c r="S25" t="n">
        <x:f>Q25-R25</x:f>
        <x:v>5389.00496701014</x:v>
      </x:c>
      <x:c r="T25" t="n">
        <x:f>T24+S25</x:f>
        <x:v>-28069.013383497248</x:v>
      </x:c>
      <x:c r="U25" t="n">
        <x:f>S25/(1+(1+'01_SUPUESTOS'!AF5)^(1/12)-1)^A25</x:f>
        <x:v>3448.9631788865004</x:v>
      </x:c>
      <x:c r="V25" t="n">
        <x:f>IF(Q25&gt;=0,1,0)</x:f>
        <x:v>1</x:v>
      </x:c>
      <x:c r="W25" t="n">
        <x:f>IF(T25&gt;=0,1,0)</x:f>
        <x:v>0</x:v>
      </x:c>
    </x:row>
    <x:row r="26">
      <x:c r="A26" t="n">
        <x:f>25</x:f>
        <x:v>25</x:v>
      </x:c>
      <x:c r="B26" t="n">
        <x:f>B25*(1-'01_SUPUESTOS'!Q5)+'01_SUPUESTOS'!N5</x:f>
        <x:v>7.555147565378376</x:v>
      </x:c>
      <x:c r="C26" t="n">
        <x:f>C25*(1-'01_SUPUESTOS'!Q5)+'01_SUPUESTOS'!O5</x:f>
        <x:v>2.3792116213266183</x:v>
      </x:c>
      <x:c r="D26" t="n">
        <x:f>D25*(1-'01_SUPUESTOS'!Q5)+'01_SUPUESTOS'!P5</x:f>
        <x:v>0.5948029053316546</x:v>
      </x:c>
      <x:c r="E26" t="n">
        <x:f>SUM(B26:D26)</x:f>
        <x:v>10.52916209203665</x:v>
      </x:c>
      <x:c r="F26" t="n">
        <x:f>B26*'01_SUPUESTOS'!R5</x:f>
        <x:v>982.1691834991889</x:v>
      </x:c>
      <x:c r="G26" t="n">
        <x:f>C26*'01_SUPUESTOS'!S5</x:f>
        <x:v>1308.5663917296401</x:v>
      </x:c>
      <x:c r="H26" t="n">
        <x:f>D26*'01_SUPUESTOS'!T5</x:f>
        <x:v>951.6846485306473</x:v>
      </x:c>
      <x:c r="I26" t="n">
        <x:f>SUM(F26:H26)</x:f>
        <x:v>3242.4202237594764</x:v>
      </x:c>
      <x:c r="J26" t="n">
        <x:f>B26*'01_SUPUESTOS'!B5+C26*'01_SUPUESTOS'!C5+D26*'01_SUPUESTOS'!D5</x:f>
        <x:v>12783.119902943712</x:v>
      </x:c>
      <x:c r="K26" t="n">
        <x:f>MAX(F26-B26*'01_SUPUESTOS'!E5,0)*'01_SUPUESTOS'!H5+MAX(G26-C26*'01_SUPUESTOS'!F5,0)*'01_SUPUESTOS'!I5+MAX(H26-D26*'01_SUPUESTOS'!G5,0)*'01_SUPUESTOS'!J5</x:f>
        <x:v>1780.3486557476158</x:v>
      </x:c>
      <x:c r="L26" t="n">
        <x:f>J26+K26</x:f>
        <x:v>14563.468558691327</x:v>
      </x:c>
      <x:c r="M26" t="n">
        <x:f>I26*'01_SUPUESTOS'!U5</x:f>
        <x:v>21.724215499188492</x:v>
      </x:c>
      <x:c r="N26" t="n">
        <x:f>E26*'01_SUPUESTOS'!W5</x:f>
        <x:v>631.749725522199</x:v>
      </x:c>
      <x:c r="O26" t="n">
        <x:f>M26+N26</x:f>
        <x:v>653.4739410213875</x:v>
      </x:c>
      <x:c r="P26" t="n">
        <x:f>SUM('01_SUPUESTOS'!V5,'01_SUPUESTOS'!X5:AB5)</x:f>
        <x:v>8112.08</x:v>
      </x:c>
      <x:c r="Q26" t="n">
        <x:f>L26-O26-P26</x:f>
        <x:v>5797.91461766994</x:v>
      </x:c>
      <x:c r="R26" t="n">
        <x:f>0</x:f>
        <x:v>0</x:v>
      </x:c>
      <x:c r="S26" t="n">
        <x:f>Q26-R26</x:f>
        <x:v>5797.91461766994</x:v>
      </x:c>
      <x:c r="T26" t="n">
        <x:f>T25+S26</x:f>
        <x:v>-22271.098765827308</x:v>
      </x:c>
      <x:c r="U26" t="n">
        <x:f>S26/(1+(1+'01_SUPUESTOS'!AF5)^(1/12)-1)^A26</x:f>
        <x:v>3642.3020229867375</x:v>
      </x:c>
      <x:c r="V26" t="n">
        <x:f>IF(Q26&gt;=0,1,0)</x:f>
        <x:v>1</x:v>
      </x:c>
      <x:c r="W26" t="n">
        <x:f>IF(T26&gt;=0,1,0)</x:f>
        <x:v>0</x:v>
      </x:c>
    </x:row>
    <x:row r="27">
      <x:c r="A27" t="n">
        <x:f>26</x:f>
        <x:v>26</x:v>
      </x:c>
      <x:c r="B27" t="n">
        <x:f>B26*(1-'01_SUPUESTOS'!Q5)+'01_SUPUESTOS'!N5</x:f>
        <x:v>7.754044614070808</x:v>
      </x:c>
      <x:c r="C27" t="n">
        <x:f>C26*(1-'01_SUPUESTOS'!Q5)+'01_SUPUESTOS'!O5</x:f>
        <x:v>2.451627388900086</x:v>
      </x:c>
      <x:c r="D27" t="n">
        <x:f>D26*(1-'01_SUPUESTOS'!Q5)+'01_SUPUESTOS'!P5</x:f>
        <x:v>0.6129068472250215</x:v>
      </x:c>
      <x:c r="E27" t="n">
        <x:f>SUM(B27:D27)</x:f>
        <x:v>10.818578850195916</x:v>
      </x:c>
      <x:c r="F27" t="n">
        <x:f>B27*'01_SUPUESTOS'!R5</x:f>
        <x:v>1008.0257998292051</x:v>
      </x:c>
      <x:c r="G27" t="n">
        <x:f>C27*'01_SUPUESTOS'!S5</x:f>
        <x:v>1348.3950638950473</x:v>
      </x:c>
      <x:c r="H27" t="n">
        <x:f>D27*'01_SUPUESTOS'!T5</x:f>
        <x:v>980.6509555600345</x:v>
      </x:c>
      <x:c r="I27" t="n">
        <x:f>SUM(F27:H27)</x:f>
        <x:v>3337.071819284287</x:v>
      </x:c>
      <x:c r="J27" t="n">
        <x:f>B27*'01_SUPUESTOS'!B5+C27*'01_SUPUESTOS'!C5+D27*'01_SUPUESTOS'!D5</x:f>
        <x:v>13150.457504884836</x:v>
      </x:c>
      <x:c r="K27" t="n">
        <x:f>MAX(F27-B27*'01_SUPUESTOS'!E5,0)*'01_SUPUESTOS'!H5+MAX(G27-C27*'01_SUPUESTOS'!F5,0)*'01_SUPUESTOS'!I5+MAX(H27-D27*'01_SUPUESTOS'!G5,0)*'01_SUPUESTOS'!J5</x:f>
        <x:v>1831.741682632662</x:v>
      </x:c>
      <x:c r="L27" t="n">
        <x:f>J27+K27</x:f>
        <x:v>14982.199187517499</x:v>
      </x:c>
      <x:c r="M27" t="n">
        <x:f>I27*'01_SUPUESTOS'!U5</x:f>
        <x:v>22.358381189204724</x:v>
      </x:c>
      <x:c r="N27" t="n">
        <x:f>E27*'01_SUPUESTOS'!W5</x:f>
        <x:v>649.114731011755</x:v>
      </x:c>
      <x:c r="O27" t="n">
        <x:f>M27+N27</x:f>
        <x:v>671.4731122009597</x:v>
      </x:c>
      <x:c r="P27" t="n">
        <x:f>SUM('01_SUPUESTOS'!V5,'01_SUPUESTOS'!X5:AB5)</x:f>
        <x:v>8112.08</x:v>
      </x:c>
      <x:c r="Q27" t="n">
        <x:f>L27-O27-P27</x:f>
        <x:v>6198.646075316539</x:v>
      </x:c>
      <x:c r="R27" t="n">
        <x:f>0</x:f>
        <x:v>0</x:v>
      </x:c>
      <x:c r="S27" t="n">
        <x:f>Q27-R27</x:f>
        <x:v>6198.646075316539</x:v>
      </x:c>
      <x:c r="T27" t="n">
        <x:f>T26+S27</x:f>
        <x:v>-16072.452690510769</x:v>
      </x:c>
      <x:c r="U27" t="n">
        <x:f>S27/(1+(1+'01_SUPUESTOS'!AF5)^(1/12)-1)^A27</x:f>
        <x:v>3822.303298903924</x:v>
      </x:c>
      <x:c r="V27" t="n">
        <x:f>IF(Q27&gt;=0,1,0)</x:f>
        <x:v>1</x:v>
      </x:c>
      <x:c r="W27" t="n">
        <x:f>IF(T27&gt;=0,1,0)</x:f>
        <x:v>0</x:v>
      </x:c>
    </x:row>
    <x:row r="28">
      <x:c r="A28" t="n">
        <x:f>27</x:f>
        <x:v>27</x:v>
      </x:c>
      <x:c r="B28" t="n">
        <x:f>B27*(1-'01_SUPUESTOS'!Q5)+'01_SUPUESTOS'!N5</x:f>
        <x:v>7.948963721789391</x:v>
      </x:c>
      <x:c r="C28" t="n">
        <x:f>C27*(1-'01_SUPUESTOS'!Q5)+'01_SUPUESTOS'!O5</x:f>
        <x:v>2.5225948411220847</x:v>
      </x:c>
      <x:c r="D28" t="n">
        <x:f>D27*(1-'01_SUPUESTOS'!Q5)+'01_SUPUESTOS'!P5</x:f>
        <x:v>0.6306487102805212</x:v>
      </x:c>
      <x:c r="E28" t="n">
        <x:f>SUM(B28:D28)</x:f>
        <x:v>11.102207273191997</x:v>
      </x:c>
      <x:c r="F28" t="n">
        <x:f>B28*'01_SUPUESTOS'!R5</x:f>
        <x:v>1033.365283832621</x:v>
      </x:c>
      <x:c r="G28" t="n">
        <x:f>C28*'01_SUPUESTOS'!S5</x:f>
        <x:v>1387.4271626171465</x:v>
      </x:c>
      <x:c r="H28" t="n">
        <x:f>D28*'01_SUPUESTOS'!T5</x:f>
        <x:v>1009.0379364488339</x:v>
      </x:c>
      <x:c r="I28" t="n">
        <x:f>SUM(F28:H28)</x:f>
        <x:v>3429.8303828986013</x:v>
      </x:c>
      <x:c r="J28" t="n">
        <x:f>B28*'01_SUPUESTOS'!B5+C28*'01_SUPUESTOS'!C5+D28*'01_SUPUESTOS'!D5</x:f>
        <x:v>13510.448354787139</x:v>
      </x:c>
      <x:c r="K28" t="n">
        <x:f>MAX(F28-B28*'01_SUPUESTOS'!E5,0)*'01_SUPUESTOS'!H5+MAX(G28-C28*'01_SUPUESTOS'!F5,0)*'01_SUPUESTOS'!I5+MAX(H28-D28*'01_SUPUESTOS'!G5,0)*'01_SUPUESTOS'!J5</x:f>
        <x:v>1882.1068489800095</x:v>
      </x:c>
      <x:c r="L28" t="n">
        <x:f>J28+K28</x:f>
        <x:v>15392.555203767148</x:v>
      </x:c>
      <x:c r="M28" t="n">
        <x:f>I28*'01_SUPUESTOS'!U5</x:f>
        <x:v>22.97986356542063</x:v>
      </x:c>
      <x:c r="N28" t="n">
        <x:f>E28*'01_SUPUESTOS'!W5</x:f>
        <x:v>666.1324363915198</x:v>
      </x:c>
      <x:c r="O28" t="n">
        <x:f>M28+N28</x:f>
        <x:v>689.1122999569404</x:v>
      </x:c>
      <x:c r="P28" t="n">
        <x:f>SUM('01_SUPUESTOS'!V5,'01_SUPUESTOS'!X5:AB5)</x:f>
        <x:v>8112.08</x:v>
      </x:c>
      <x:c r="Q28" t="n">
        <x:f>L28-O28-P28</x:f>
        <x:v>6591.362903810208</x:v>
      </x:c>
      <x:c r="R28" t="n">
        <x:f>0</x:f>
        <x:v>0</x:v>
      </x:c>
      <x:c r="S28" t="n">
        <x:f>Q28-R28</x:f>
        <x:v>6591.362903810208</x:v>
      </x:c>
      <x:c r="T28" t="n">
        <x:f>T27+S28</x:f>
        <x:v>-9481.08978670056</x:v>
      </x:c>
      <x:c r="U28" t="n">
        <x:f>S28/(1+(1+'01_SUPUESTOS'!AF5)^(1/12)-1)^A28</x:f>
        <x:v>3989.5847412309336</x:v>
      </x:c>
      <x:c r="V28" t="n">
        <x:f>IF(Q28&gt;=0,1,0)</x:f>
        <x:v>1</x:v>
      </x:c>
      <x:c r="W28" t="n">
        <x:f>IF(T28&gt;=0,1,0)</x:f>
        <x:v>0</x:v>
      </x:c>
    </x:row>
    <x:row r="29">
      <x:c r="A29" t="n">
        <x:f>28</x:f>
        <x:v>28</x:v>
      </x:c>
      <x:c r="B29" t="n">
        <x:f>B28*(1-'01_SUPUESTOS'!Q5)+'01_SUPUESTOS'!N5</x:f>
        <x:v>8.139984447353603</x:v>
      </x:c>
      <x:c r="C29" t="n">
        <x:f>C28*(1-'01_SUPUESTOS'!Q5)+'01_SUPUESTOS'!O5</x:f>
        <x:v>2.592142944299643</x:v>
      </x:c>
      <x:c r="D29" t="n">
        <x:f>D28*(1-'01_SUPUESTOS'!Q5)+'01_SUPUESTOS'!P5</x:f>
        <x:v>0.6480357360749107</x:v>
      </x:c>
      <x:c r="E29" t="n">
        <x:f>SUM(B29:D29)</x:f>
        <x:v>11.380163127728158</x:v>
      </x:c>
      <x:c r="F29" t="n">
        <x:f>B29*'01_SUPUESTOS'!R5</x:f>
        <x:v>1058.1979781559685</x:v>
      </x:c>
      <x:c r="G29" t="n">
        <x:f>C29*'01_SUPUESTOS'!S5</x:f>
        <x:v>1425.6786193648036</x:v>
      </x:c>
      <x:c r="H29" t="n">
        <x:f>D29*'01_SUPUESTOS'!T5</x:f>
        <x:v>1036.8571777198572</x:v>
      </x:c>
      <x:c r="I29" t="n">
        <x:f>SUM(F29:H29)</x:f>
        <x:v>3520.7337752406293</x:v>
      </x:c>
      <x:c r="J29" t="n">
        <x:f>B29*'01_SUPUESTOS'!B5+C29*'01_SUPUESTOS'!C5+D29*'01_SUPUESTOS'!D5</x:f>
        <x:v>13863.239387691397</x:v>
      </x:c>
      <x:c r="K29" t="n">
        <x:f>MAX(F29-B29*'01_SUPUESTOS'!E5,0)*'01_SUPUESTOS'!H5+MAX(G29-C29*'01_SUPUESTOS'!F5,0)*'01_SUPUESTOS'!I5+MAX(H29-D29*'01_SUPUESTOS'!G5,0)*'01_SUPUESTOS'!J5</x:f>
        <x:v>1931.46471200041</x:v>
      </x:c>
      <x:c r="L29" t="n">
        <x:f>J29+K29</x:f>
        <x:v>15794.704099691808</x:v>
      </x:c>
      <x:c r="M29" t="n">
        <x:f>I29*'01_SUPUESTOS'!U5</x:f>
        <x:v>23.588916294112217</x:v>
      </x:c>
      <x:c r="N29" t="n">
        <x:f>E29*'01_SUPUESTOS'!W5</x:f>
        <x:v>682.8097876636895</x:v>
      </x:c>
      <x:c r="O29" t="n">
        <x:f>M29+N29</x:f>
        <x:v>706.3987039578017</x:v>
      </x:c>
      <x:c r="P29" t="n">
        <x:f>SUM('01_SUPUESTOS'!V5,'01_SUPUESTOS'!X5:AB5)</x:f>
        <x:v>8112.08</x:v>
      </x:c>
      <x:c r="Q29" t="n">
        <x:f>L29-O29-P29</x:f>
        <x:v>6976.225395734005</x:v>
      </x:c>
      <x:c r="R29" t="n">
        <x:f>0</x:f>
        <x:v>0</x:v>
      </x:c>
      <x:c r="S29" t="n">
        <x:f>Q29-R29</x:f>
        <x:v>6976.225395734005</x:v>
      </x:c>
      <x:c r="T29" t="n">
        <x:f>T28+S29</x:f>
        <x:v>-2504.864390966555</x:v>
      </x:c>
      <x:c r="U29" t="n">
        <x:f>S29/(1+(1+'01_SUPUESTOS'!AF5)^(1/12)-1)^A29</x:f>
        <x:v>4144.738546893435</x:v>
      </x:c>
      <x:c r="V29" t="n">
        <x:f>IF(Q29&gt;=0,1,0)</x:f>
        <x:v>1</x:v>
      </x:c>
      <x:c r="W29" t="n">
        <x:f>IF(T29&gt;=0,1,0)</x:f>
        <x:v>0</x:v>
      </x:c>
    </x:row>
    <x:row r="30">
      <x:c r="A30" t="n">
        <x:f>29</x:f>
        <x:v>29</x:v>
      </x:c>
      <x:c r="B30" t="n">
        <x:f>B29*(1-'01_SUPUESTOS'!Q5)+'01_SUPUESTOS'!N5</x:f>
        <x:v>8.327184758406531</x:v>
      </x:c>
      <x:c r="C30" t="n">
        <x:f>C29*(1-'01_SUPUESTOS'!Q5)+'01_SUPUESTOS'!O5</x:f>
        <x:v>2.6603000854136503</x:v>
      </x:c>
      <x:c r="D30" t="n">
        <x:f>D29*(1-'01_SUPUESTOS'!Q5)+'01_SUPUESTOS'!P5</x:f>
        <x:v>0.6650750213534126</x:v>
      </x:c>
      <x:c r="E30" t="n">
        <x:f>SUM(B30:D30)</x:f>
        <x:v>11.652559865173595</x:v>
      </x:c>
      <x:c r="F30" t="n">
        <x:f>B30*'01_SUPUESTOS'!R5</x:f>
        <x:v>1082.534018592849</x:v>
      </x:c>
      <x:c r="G30" t="n">
        <x:f>C30*'01_SUPUESTOS'!S5</x:f>
        <x:v>1463.1650469775077</x:v>
      </x:c>
      <x:c r="H30" t="n">
        <x:f>D30*'01_SUPUESTOS'!T5</x:f>
        <x:v>1064.12003416546</x:v>
      </x:c>
      <x:c r="I30" t="n">
        <x:f>SUM(F30:H30)</x:f>
        <x:v>3609.819099735817</x:v>
      </x:c>
      <x:c r="J30" t="n">
        <x:f>B30*'01_SUPUESTOS'!B5+C30*'01_SUPUESTOS'!C5+D30*'01_SUPUESTOS'!D5</x:f>
        <x:v>14208.97459993757</x:v>
      </x:c>
      <x:c r="K30" t="n">
        <x:f>MAX(F30-B30*'01_SUPUESTOS'!E5,0)*'01_SUPUESTOS'!H5+MAX(G30-C30*'01_SUPUESTOS'!F5,0)*'01_SUPUESTOS'!I5+MAX(H30-D30*'01_SUPUESTOS'!G5,0)*'01_SUPUESTOS'!J5</x:f>
        <x:v>1979.8354177604003</x:v>
      </x:c>
      <x:c r="L30" t="n">
        <x:f>J30+K30</x:f>
        <x:v>16188.81001769797</x:v>
      </x:c>
      <x:c r="M30" t="n">
        <x:f>I30*'01_SUPUESTOS'!U5</x:f>
        <x:v>24.185787968229974</x:v>
      </x:c>
      <x:c r="N30" t="n">
        <x:f>E30*'01_SUPUESTOS'!W5</x:f>
        <x:v>699.1535919104157</x:v>
      </x:c>
      <x:c r="O30" t="n">
        <x:f>M30+N30</x:f>
        <x:v>723.3393798786457</x:v>
      </x:c>
      <x:c r="P30" t="n">
        <x:f>SUM('01_SUPUESTOS'!V5,'01_SUPUESTOS'!X5:AB5)</x:f>
        <x:v>8112.08</x:v>
      </x:c>
      <x:c r="Q30" t="n">
        <x:f>L30-O30-P30</x:f>
        <x:v>7353.390637819324</x:v>
      </x:c>
      <x:c r="R30" t="n">
        <x:f>0</x:f>
        <x:v>0</x:v>
      </x:c>
      <x:c r="S30" t="n">
        <x:f>Q30-R30</x:f>
        <x:v>7353.390637819324</x:v>
      </x:c>
      <x:c r="T30" t="n">
        <x:f>T29+S30</x:f>
        <x:v>4848.526246852769</x:v>
      </x:c>
      <x:c r="U30" t="n">
        <x:f>S30/(1+(1+'01_SUPUESTOS'!AF5)^(1/12)-1)^A30</x:f>
        <x:v>4288.332384381372</x:v>
      </x:c>
      <x:c r="V30" t="n">
        <x:f>IF(Q30&gt;=0,1,0)</x:f>
        <x:v>1</x:v>
      </x:c>
      <x:c r="W30" t="n">
        <x:f>IF(T30&gt;=0,1,0)</x:f>
        <x:v>1</x:v>
      </x:c>
    </x:row>
    <x:row r="31">
      <x:c r="A31" t="n">
        <x:f>30</x:f>
        <x:v>30</x:v>
      </x:c>
      <x:c r="B31" t="n">
        <x:f>B30*(1-'01_SUPUESTOS'!Q5)+'01_SUPUESTOS'!N5</x:f>
        <x:v>8.5106410632384</x:v>
      </x:c>
      <x:c r="C31" t="n">
        <x:f>C30*(1-'01_SUPUESTOS'!Q5)+'01_SUPUESTOS'!O5</x:f>
        <x:v>2.7270940837053774</x:v>
      </x:c>
      <x:c r="D31" t="n">
        <x:f>D30*(1-'01_SUPUESTOS'!Q5)+'01_SUPUESTOS'!P5</x:f>
        <x:v>0.6817735209263444</x:v>
      </x:c>
      <x:c r="E31" t="n">
        <x:f>SUM(B31:D31)</x:f>
        <x:v>11.919508667870122</x:v>
      </x:c>
      <x:c r="F31" t="n">
        <x:f>B31*'01_SUPUESTOS'!R5</x:f>
        <x:v>1106.383338220992</x:v>
      </x:c>
      <x:c r="G31" t="n">
        <x:f>C31*'01_SUPUESTOS'!S5</x:f>
        <x:v>1499.9017460379575</x:v>
      </x:c>
      <x:c r="H31" t="n">
        <x:f>D31*'01_SUPUESTOS'!T5</x:f>
        <x:v>1090.837633482151</x:v>
      </x:c>
      <x:c r="I31" t="n">
        <x:f>SUM(F31:H31)</x:f>
        <x:v>3697.1227177411006</x:v>
      </x:c>
      <x:c r="J31" t="n">
        <x:f>B31*'01_SUPUESTOS'!B5+C31*'01_SUPUESTOS'!C5+D31*'01_SUPUESTOS'!D5</x:f>
        <x:v>14547.79510793882</x:v>
      </x:c>
      <x:c r="K31" t="n">
        <x:f>MAX(F31-B31*'01_SUPUESTOS'!E5,0)*'01_SUPUESTOS'!H5+MAX(G31-C31*'01_SUPUESTOS'!F5,0)*'01_SUPUESTOS'!I5+MAX(H31-D31*'01_SUPUESTOS'!G5,0)*'01_SUPUESTOS'!J5</x:f>
        <x:v>2027.2387094051928</x:v>
      </x:c>
      <x:c r="L31" t="n">
        <x:f>J31+K31</x:f>
        <x:v>16575.033817344014</x:v>
      </x:c>
      <x:c r="M31" t="n">
        <x:f>I31*'01_SUPUESTOS'!U5</x:f>
        <x:v>24.770722208865376</x:v>
      </x:c>
      <x:c r="N31" t="n">
        <x:f>E31*'01_SUPUESTOS'!W5</x:f>
        <x:v>715.1705200722073</x:v>
      </x:c>
      <x:c r="O31" t="n">
        <x:f>M31+N31</x:f>
        <x:v>739.9412422810726</x:v>
      </x:c>
      <x:c r="P31" t="n">
        <x:f>SUM('01_SUPUESTOS'!V5,'01_SUPUESTOS'!X5:AB5)</x:f>
        <x:v>8112.08</x:v>
      </x:c>
      <x:c r="Q31" t="n">
        <x:f>L31-O31-P31</x:f>
        <x:v>7723.012575062941</x:v>
      </x:c>
      <x:c r="R31" t="n">
        <x:f>0</x:f>
        <x:v>0</x:v>
      </x:c>
      <x:c r="S31" t="n">
        <x:f>Q31-R31</x:f>
        <x:v>7723.012575062941</x:v>
      </x:c>
      <x:c r="T31" t="n">
        <x:f>T30+S31</x:f>
        <x:v>12571.53882191571</x:v>
      </x:c>
      <x:c r="U31" t="n">
        <x:f>S31/(1+(1+'01_SUPUESTOS'!AF5)^(1/12)-1)^A31</x:f>
        <x:v>4420.910363885184</x:v>
      </x:c>
      <x:c r="V31" t="n">
        <x:f>IF(Q31&gt;=0,1,0)</x:f>
        <x:v>1</x:v>
      </x:c>
      <x:c r="W31" t="n">
        <x:f>IF(T31&gt;=0,1,0)</x:f>
        <x:v>1</x:v>
      </x:c>
    </x:row>
    <x:row r="32">
      <x:c r="A32" t="n">
        <x:f>31</x:f>
        <x:v>31</x:v>
      </x:c>
      <x:c r="B32" t="n">
        <x:f>B31*(1-'01_SUPUESTOS'!Q5)+'01_SUPUESTOS'!N5</x:f>
        <x:v>8.690428241973633</x:v>
      </x:c>
      <x:c r="C32" t="n">
        <x:f>C31*(1-'01_SUPUESTOS'!Q5)+'01_SUPUESTOS'!O5</x:f>
        <x:v>2.79255220203127</x:v>
      </x:c>
      <x:c r="D32" t="n">
        <x:f>D31*(1-'01_SUPUESTOS'!Q5)+'01_SUPUESTOS'!P5</x:f>
        <x:v>0.6981380505078175</x:v>
      </x:c>
      <x:c r="E32" t="n">
        <x:f>SUM(B32:D32)</x:f>
        <x:v>12.18111849451272</x:v>
      </x:c>
      <x:c r="F32" t="n">
        <x:f>B32*'01_SUPUESTOS'!R5</x:f>
        <x:v>1129.7556714565724</x:v>
      </x:c>
      <x:c r="G32" t="n">
        <x:f>C32*'01_SUPUESTOS'!S5</x:f>
        <x:v>1535.9037111171986</x:v>
      </x:c>
      <x:c r="H32" t="n">
        <x:f>D32*'01_SUPUESTOS'!T5</x:f>
        <x:v>1117.020880812508</x:v>
      </x:c>
      <x:c r="I32" t="n">
        <x:f>SUM(F32:H32)</x:f>
        <x:v>3782.680263386279</x:v>
      </x:c>
      <x:c r="J32" t="n">
        <x:f>B32*'01_SUPUESTOS'!B5+C32*'01_SUPUESTOS'!C5+D32*'01_SUPUESTOS'!D5</x:f>
        <x:v>14879.839205780045</x:v>
      </x:c>
      <x:c r="K32" t="n">
        <x:f>MAX(F32-B32*'01_SUPUESTOS'!E5,0)*'01_SUPUESTOS'!H5+MAX(G32-C32*'01_SUPUESTOS'!F5,0)*'01_SUPUESTOS'!I5+MAX(H32-D32*'01_SUPUESTOS'!G5,0)*'01_SUPUESTOS'!J5</x:f>
        <x:v>2073.69393521709</x:v>
      </x:c>
      <x:c r="L32" t="n">
        <x:f>J32+K32</x:f>
        <x:v>16953.533140997133</x:v>
      </x:c>
      <x:c r="M32" t="n">
        <x:f>I32*'01_SUPUESTOS'!U5</x:f>
        <x:v>25.34395776468807</x:v>
      </x:c>
      <x:c r="N32" t="n">
        <x:f>E32*'01_SUPUESTOS'!W5</x:f>
        <x:v>730.8671096707632</x:v>
      </x:c>
      <x:c r="O32" t="n">
        <x:f>M32+N32</x:f>
        <x:v>756.2110674354512</x:v>
      </x:c>
      <x:c r="P32" t="n">
        <x:f>SUM('01_SUPUESTOS'!V5,'01_SUPUESTOS'!X5:AB5)</x:f>
        <x:v>8112.08</x:v>
      </x:c>
      <x:c r="Q32" t="n">
        <x:f>L32-O32-P32</x:f>
        <x:v>8085.2420735616815</x:v>
      </x:c>
      <x:c r="R32" t="n">
        <x:f>0</x:f>
        <x:v>0</x:v>
      </x:c>
      <x:c r="S32" t="n">
        <x:f>Q32-R32</x:f>
        <x:v>8085.2420735616815</x:v>
      </x:c>
      <x:c r="T32" t="n">
        <x:f>T31+S32</x:f>
        <x:v>20656.780895477394</x:v>
      </x:c>
      <x:c r="U32" t="n">
        <x:f>S32/(1+(1+'01_SUPUESTOS'!AF5)^(1/12)-1)^A32</x:f>
        <x:v>4542.993969837211</x:v>
      </x:c>
      <x:c r="V32" t="n">
        <x:f>IF(Q32&gt;=0,1,0)</x:f>
        <x:v>1</x:v>
      </x:c>
      <x:c r="W32" t="n">
        <x:f>IF(T32&gt;=0,1,0)</x:f>
        <x:v>1</x:v>
      </x:c>
    </x:row>
    <x:row r="33">
      <x:c r="A33" t="n">
        <x:f>32</x:f>
        <x:v>32</x:v>
      </x:c>
      <x:c r="B33" t="n">
        <x:f>B32*(1-'01_SUPUESTOS'!Q5)+'01_SUPUESTOS'!N5</x:f>
        <x:v>8.86661967713416</x:v>
      </x:c>
      <x:c r="C33" t="n">
        <x:f>C32*(1-'01_SUPUESTOS'!Q5)+'01_SUPUESTOS'!O5</x:f>
        <x:v>2.8567011579906447</x:v>
      </x:c>
      <x:c r="D33" t="n">
        <x:f>D32*(1-'01_SUPUESTOS'!Q5)+'01_SUPUESTOS'!P5</x:f>
        <x:v>0.7141752894976612</x:v>
      </x:c>
      <x:c r="E33" t="n">
        <x:f>SUM(B33:D33)</x:f>
        <x:v>12.437496124622466</x:v>
      </x:c>
      <x:c r="F33" t="n">
        <x:f>B33*'01_SUPUESTOS'!R5</x:f>
        <x:v>1152.6605580274409</x:v>
      </x:c>
      <x:c r="G33" t="n">
        <x:f>C33*'01_SUPUESTOS'!S5</x:f>
        <x:v>1571.1856368948545</x:v>
      </x:c>
      <x:c r="H33" t="n">
        <x:f>D33*'01_SUPUESTOS'!T5</x:f>
        <x:v>1142.680463196258</x:v>
      </x:c>
      <x:c r="I33" t="n">
        <x:f>SUM(F33:H33)</x:f>
        <x:v>3866.5266581185533</x:v>
      </x:c>
      <x:c r="J33" t="n">
        <x:f>B33*'01_SUPUESTOS'!B5+C33*'01_SUPUESTOS'!C5+D33*'01_SUPUESTOS'!D5</x:f>
        <x:v>15205.242421664445</x:v>
      </x:c>
      <x:c r="K33" t="n">
        <x:f>MAX(F33-B33*'01_SUPUESTOS'!E5,0)*'01_SUPUESTOS'!H5+MAX(G33-C33*'01_SUPUESTOS'!F5,0)*'01_SUPUESTOS'!I5+MAX(H33-D33*'01_SUPUESTOS'!G5,0)*'01_SUPUESTOS'!J5</x:f>
        <x:v>2119.2200565127478</x:v>
      </x:c>
      <x:c r="L33" t="n">
        <x:f>J33+K33</x:f>
        <x:v>17324.462478177193</x:v>
      </x:c>
      <x:c r="M33" t="n">
        <x:f>I33*'01_SUPUESTOS'!U5</x:f>
        <x:v>25.90572860939431</x:v>
      </x:c>
      <x:c r="N33" t="n">
        <x:f>E33*'01_SUPUESTOS'!W5</x:f>
        <x:v>746.249767477348</x:v>
      </x:c>
      <x:c r="O33" t="n">
        <x:f>M33+N33</x:f>
        <x:v>772.1554960867422</x:v>
      </x:c>
      <x:c r="P33" t="n">
        <x:f>SUM('01_SUPUESTOS'!V5,'01_SUPUESTOS'!X5:AB5)</x:f>
        <x:v>8112.08</x:v>
      </x:c>
      <x:c r="Q33" t="n">
        <x:f>L33-O33-P33</x:f>
        <x:v>8440.22698209045</x:v>
      </x:c>
      <x:c r="R33" t="n">
        <x:f>0</x:f>
        <x:v>0</x:v>
      </x:c>
      <x:c r="S33" t="n">
        <x:f>Q33-R33</x:f>
        <x:v>8440.22698209045</x:v>
      </x:c>
      <x:c r="T33" t="n">
        <x:f>T32+S33</x:f>
        <x:v>29097.00787756784</x:v>
      </x:c>
      <x:c r="U33" t="n">
        <x:f>S33/(1+(1+'01_SUPUESTOS'!AF5)^(1/12)-1)^A33</x:f>
        <x:v>4655.082957301466</x:v>
      </x:c>
      <x:c r="V33" t="n">
        <x:f>IF(Q33&gt;=0,1,0)</x:f>
        <x:v>1</x:v>
      </x:c>
      <x:c r="W33" t="n">
        <x:f>IF(T33&gt;=0,1,0)</x:f>
        <x:v>1</x:v>
      </x:c>
    </x:row>
    <x:row r="34">
      <x:c r="A34" t="n">
        <x:f>33</x:f>
        <x:v>33</x:v>
      </x:c>
      <x:c r="B34" t="n">
        <x:f>B33*(1-'01_SUPUESTOS'!Q5)+'01_SUPUESTOS'!N5</x:f>
        <x:v>9.039287283591477</x:v>
      </x:c>
      <x:c r="C34" t="n">
        <x:f>C33*(1-'01_SUPUESTOS'!Q5)+'01_SUPUESTOS'!O5</x:f>
        <x:v>2.919567134830832</x:v>
      </x:c>
      <x:c r="D34" t="n">
        <x:f>D33*(1-'01_SUPUESTOS'!Q5)+'01_SUPUESTOS'!P5</x:f>
        <x:v>0.729891783707708</x:v>
      </x:c>
      <x:c r="E34" t="n">
        <x:f>SUM(B34:D34)</x:f>
        <x:v>12.688746202130018</x:v>
      </x:c>
      <x:c r="F34" t="n">
        <x:f>B34*'01_SUPUESTOS'!R5</x:f>
        <x:v>1175.107346866892</x:v>
      </x:c>
      <x:c r="G34" t="n">
        <x:f>C34*'01_SUPUESTOS'!S5</x:f>
        <x:v>1605.7619241569575</x:v>
      </x:c>
      <x:c r="H34" t="n">
        <x:f>D34*'01_SUPUESTOS'!T5</x:f>
        <x:v>1167.8268539323328</x:v>
      </x:c>
      <x:c r="I34" t="n">
        <x:f>SUM(F34:H34)</x:f>
        <x:v>3948.696124956182</x:v>
      </x:c>
      <x:c r="J34" t="n">
        <x:f>B34*'01_SUPUESTOS'!B5+C34*'01_SUPUESTOS'!C5+D34*'01_SUPUESTOS'!D5</x:f>
        <x:v>15524.137573231154</x:v>
      </x:c>
      <x:c r="K34" t="n">
        <x:f>MAX(F34-B34*'01_SUPUESTOS'!E5,0)*'01_SUPUESTOS'!H5+MAX(G34-C34*'01_SUPUESTOS'!F5,0)*'01_SUPUESTOS'!I5+MAX(H34-D34*'01_SUPUESTOS'!G5,0)*'01_SUPUESTOS'!J5</x:f>
        <x:v>2163.8356553824915</x:v>
      </x:c>
      <x:c r="L34" t="n">
        <x:f>J34+K34</x:f>
        <x:v>17687.973228613646</x:v>
      </x:c>
      <x:c r="M34" t="n">
        <x:f>I34*'01_SUPUESTOS'!U5</x:f>
        <x:v>26.45626403720642</x:v>
      </x:c>
      <x:c r="N34" t="n">
        <x:f>E34*'01_SUPUESTOS'!W5</x:f>
        <x:v>761.3247721278011</x:v>
      </x:c>
      <x:c r="O34" t="n">
        <x:f>M34+N34</x:f>
        <x:v>787.7810361650075</x:v>
      </x:c>
      <x:c r="P34" t="n">
        <x:f>SUM('01_SUPUESTOS'!V5,'01_SUPUESTOS'!X5:AB5)</x:f>
        <x:v>8112.08</x:v>
      </x:c>
      <x:c r="Q34" t="n">
        <x:f>L34-O34-P34</x:f>
        <x:v>8788.112192448638</x:v>
      </x:c>
      <x:c r="R34" t="n">
        <x:f>0</x:f>
        <x:v>0</x:v>
      </x:c>
      <x:c r="S34" t="n">
        <x:f>Q34-R34</x:f>
        <x:v>8788.112192448638</x:v>
      </x:c>
      <x:c r="T34" t="n">
        <x:f>T33+S34</x:f>
        <x:v>37885.12007001648</x:v>
      </x:c>
      <x:c r="U34" t="n">
        <x:f>S34/(1+(1+'01_SUPUESTOS'!AF5)^(1/12)-1)^A34</x:f>
        <x:v>4757.656213599684</x:v>
      </x:c>
      <x:c r="V34" t="n">
        <x:f>IF(Q34&gt;=0,1,0)</x:f>
        <x:v>1</x:v>
      </x:c>
      <x:c r="W34" t="n">
        <x:f>IF(T34&gt;=0,1,0)</x:f>
        <x:v>1</x:v>
      </x:c>
    </x:row>
    <x:row r="35">
      <x:c r="A35" t="n">
        <x:f>34</x:f>
        <x:v>34</x:v>
      </x:c>
      <x:c r="B35" t="n">
        <x:f>B34*(1-'01_SUPUESTOS'!Q5)+'01_SUPUESTOS'!N5</x:f>
        <x:v>9.208501537919647</x:v>
      </x:c>
      <x:c r="C35" t="n">
        <x:f>C34*(1-'01_SUPUESTOS'!Q5)+'01_SUPUESTOS'!O5</x:f>
        <x:v>2.9811757921342155</x:v>
      </x:c>
      <x:c r="D35" t="n">
        <x:f>D34*(1-'01_SUPUESTOS'!Q5)+'01_SUPUESTOS'!P5</x:f>
        <x:v>0.7452939480335539</x:v>
      </x:c>
      <x:c r="E35" t="n">
        <x:f>SUM(B35:D35)</x:f>
        <x:v>12.934971278087415</x:v>
      </x:c>
      <x:c r="F35" t="n">
        <x:f>B35*'01_SUPUESTOS'!R5</x:f>
        <x:v>1197.1051999295541</x:v>
      </x:c>
      <x:c r="G35" t="n">
        <x:f>C35*'01_SUPUESTOS'!S5</x:f>
        <x:v>1639.6466856738184</x:v>
      </x:c>
      <x:c r="H35" t="n">
        <x:f>D35*'01_SUPUESTOS'!T5</x:f>
        <x:v>1192.4703168536862</x:v>
      </x:c>
      <x:c r="I35" t="n">
        <x:f>SUM(F35:H35)</x:f>
        <x:v>4029.2222024570588</x:v>
      </x:c>
      <x:c r="J35" t="n">
        <x:f>B35*'01_SUPUESTOS'!B5+C35*'01_SUPUESTOS'!C5+D35*'01_SUPUESTOS'!D5</x:f>
        <x:v>15836.654821766531</x:v>
      </x:c>
      <x:c r="K35" t="n">
        <x:f>MAX(F35-B35*'01_SUPUESTOS'!E5,0)*'01_SUPUESTOS'!H5+MAX(G35-C35*'01_SUPUESTOS'!F5,0)*'01_SUPUESTOS'!I5+MAX(H35-D35*'01_SUPUESTOS'!G5,0)*'01_SUPUESTOS'!J5</x:f>
        <x:v>2207.558942274844</x:v>
      </x:c>
      <x:c r="L35" t="n">
        <x:f>J35+K35</x:f>
        <x:v>18044.213764041375</x:v>
      </x:c>
      <x:c r="M35" t="n">
        <x:f>I35*'01_SUPUESTOS'!U5</x:f>
        <x:v>26.995788756462293</x:v>
      </x:c>
      <x:c r="N35" t="n">
        <x:f>E35*'01_SUPUESTOS'!W5</x:f>
        <x:v>776.098276685245</x:v>
      </x:c>
      <x:c r="O35" t="n">
        <x:f>M35+N35</x:f>
        <x:v>803.0940654417072</x:v>
      </x:c>
      <x:c r="P35" t="n">
        <x:f>SUM('01_SUPUESTOS'!V5,'01_SUPUESTOS'!X5:AB5)</x:f>
        <x:v>8112.08</x:v>
      </x:c>
      <x:c r="Q35" t="n">
        <x:f>L35-O35-P35</x:f>
        <x:v>9129.039698599669</x:v>
      </x:c>
      <x:c r="R35" t="n">
        <x:f>0</x:f>
        <x:v>0</x:v>
      </x:c>
      <x:c r="S35" t="n">
        <x:f>Q35-R35</x:f>
        <x:v>9129.039698599669</x:v>
      </x:c>
      <x:c r="T35" t="n">
        <x:f>T34+S35</x:f>
        <x:v>47014.15976861615</x:v>
      </x:c>
      <x:c r="U35" t="n">
        <x:f>S35/(1+(1+'01_SUPUESTOS'!AF5)^(1/12)-1)^A35</x:f>
        <x:v>4851.172586508646</x:v>
      </x:c>
      <x:c r="V35" t="n">
        <x:f>IF(Q35&gt;=0,1,0)</x:f>
        <x:v>1</x:v>
      </x:c>
      <x:c r="W35" t="n">
        <x:f>IF(T35&gt;=0,1,0)</x:f>
        <x:v>1</x:v>
      </x:c>
    </x:row>
    <x:row r="36">
      <x:c r="A36" t="n">
        <x:f>35</x:f>
        <x:v>35</x:v>
      </x:c>
      <x:c r="B36" t="n">
        <x:f>B35*(1-'01_SUPUESTOS'!Q5)+'01_SUPUESTOS'!N5</x:f>
        <x:v>9.374331507161253</x:v>
      </x:c>
      <x:c r="C36" t="n">
        <x:f>C35*(1-'01_SUPUESTOS'!Q5)+'01_SUPUESTOS'!O5</x:f>
        <x:v>3.0415522762915312</x:v>
      </x:c>
      <x:c r="D36" t="n">
        <x:f>D35*(1-'01_SUPUESTOS'!Q5)+'01_SUPUESTOS'!P5</x:f>
        <x:v>0.7603880690728828</x:v>
      </x:c>
      <x:c r="E36" t="n">
        <x:f>SUM(B36:D36)</x:f>
        <x:v>13.176271852525668</x:v>
      </x:c>
      <x:c r="F36" t="n">
        <x:f>B36*'01_SUPUESTOS'!R5</x:f>
        <x:v>1218.663095930963</x:v>
      </x:c>
      <x:c r="G36" t="n">
        <x:f>C36*'01_SUPUESTOS'!S5</x:f>
        <x:v>1672.8537519603422</x:v>
      </x:c>
      <x:c r="H36" t="n">
        <x:f>D36*'01_SUPUESTOS'!T5</x:f>
        <x:v>1216.6209105166124</x:v>
      </x:c>
      <x:c r="I36" t="n">
        <x:f>SUM(F36:H36)</x:f>
        <x:v>4108.137758407917</x:v>
      </x:c>
      <x:c r="J36" t="n">
        <x:f>B36*'01_SUPUESTOS'!B5+C36*'01_SUPUESTOS'!C5+D36*'01_SUPUESTOS'!D5</x:f>
        <x:v>16142.9217253312</x:v>
      </x:c>
      <x:c r="K36" t="n">
        <x:f>MAX(F36-B36*'01_SUPUESTOS'!E5,0)*'01_SUPUESTOS'!H5+MAX(G36-C36*'01_SUPUESTOS'!F5,0)*'01_SUPUESTOS'!I5+MAX(H36-D36*'01_SUPUESTOS'!G5,0)*'01_SUPUESTOS'!J5</x:f>
        <x:v>2250.407763429347</x:v>
      </x:c>
      <x:c r="L36" t="n">
        <x:f>J36+K36</x:f>
        <x:v>18393.329488760548</x:v>
      </x:c>
      <x:c r="M36" t="n">
        <x:f>I36*'01_SUPUESTOS'!U5</x:f>
        <x:v>27.524522981333046</x:v>
      </x:c>
      <x:c r="N36" t="n">
        <x:f>E36*'01_SUPUESTOS'!W5</x:f>
        <x:v>790.57631115154</x:v>
      </x:c>
      <x:c r="O36" t="n">
        <x:f>M36+N36</x:f>
        <x:v>818.100834132873</x:v>
      </x:c>
      <x:c r="P36" t="n">
        <x:f>SUM('01_SUPUESTOS'!V5,'01_SUPUESTOS'!X5:AB5)</x:f>
        <x:v>8112.08</x:v>
      </x:c>
      <x:c r="Q36" t="n">
        <x:f>L36-O36-P36</x:f>
        <x:v>9463.148654627674</x:v>
      </x:c>
      <x:c r="R36" t="n">
        <x:f>0</x:f>
        <x:v>0</x:v>
      </x:c>
      <x:c r="S36" t="n">
        <x:f>Q36-R36</x:f>
        <x:v>9463.148654627674</x:v>
      </x:c>
      <x:c r="T36" t="n">
        <x:f>T35+S36</x:f>
        <x:v>56477.30842324382</x:v>
      </x:c>
      <x:c r="U36" t="n">
        <x:f>S36/(1+(1+'01_SUPUESTOS'!AF5)^(1/12)-1)^A36</x:f>
        <x:v>4936.071680312652</x:v>
      </x:c>
      <x:c r="V36" t="n">
        <x:f>IF(Q36&gt;=0,1,0)</x:f>
        <x:v>1</x:v>
      </x:c>
      <x:c r="W36" t="n">
        <x:f>IF(T36&gt;=0,1,0)</x:f>
        <x:v>1</x:v>
      </x:c>
    </x:row>
    <x:row r="37">
      <x:c r="A37" t="n">
        <x:f>36</x:f>
        <x:v>36</x:v>
      </x:c>
      <x:c r="B37" t="n">
        <x:f>B36*(1-'01_SUPUESTOS'!Q5)+'01_SUPUESTOS'!N5</x:f>
        <x:v>9.536844877018028</x:v>
      </x:c>
      <x:c r="C37" t="n">
        <x:f>C36*(1-'01_SUPUESTOS'!Q5)+'01_SUPUESTOS'!O5</x:f>
        <x:v>3.100721230765701</x:v>
      </x:c>
      <x:c r="D37" t="n">
        <x:f>D36*(1-'01_SUPUESTOS'!Q5)+'01_SUPUESTOS'!P5</x:f>
        <x:v>0.7751803076914252</x:v>
      </x:c>
      <x:c r="E37" t="n">
        <x:f>SUM(B37:D37)</x:f>
        <x:v>13.412746415475155</x:v>
      </x:c>
      <x:c r="F37" t="n">
        <x:f>B37*'01_SUPUESTOS'!R5</x:f>
        <x:v>1239.7898340123436</x:v>
      </x:c>
      <x:c r="G37" t="n">
        <x:f>C37*'01_SUPUESTOS'!S5</x:f>
        <x:v>1705.3966769211354</x:v>
      </x:c>
      <x:c r="H37" t="n">
        <x:f>D37*'01_SUPUESTOS'!T5</x:f>
        <x:v>1240.2884923062804</x:v>
      </x:c>
      <x:c r="I37" t="n">
        <x:f>SUM(F37:H37)</x:f>
        <x:v>4185.47500323976</x:v>
      </x:c>
      <x:c r="J37" t="n">
        <x:f>B37*'01_SUPUESTOS'!B5+C37*'01_SUPUESTOS'!C5+D37*'01_SUPUESTOS'!D5</x:f>
        <x:v>16443.063290824575</x:v>
      </x:c>
      <x:c r="K37" t="n">
        <x:f>MAX(F37-B37*'01_SUPUESTOS'!E5,0)*'01_SUPUESTOS'!H5+MAX(G37-C37*'01_SUPUESTOS'!F5,0)*'01_SUPUESTOS'!I5+MAX(H37-D37*'01_SUPUESTOS'!G5,0)*'01_SUPUESTOS'!J5</x:f>
        <x:v>2292.3996081607584</x:v>
      </x:c>
      <x:c r="L37" t="n">
        <x:f>J37+K37</x:f>
        <x:v>18735.462898985334</x:v>
      </x:c>
      <x:c r="M37" t="n">
        <x:f>I37*'01_SUPUESTOS'!U5</x:f>
        <x:v>28.04268252170639</x:v>
      </x:c>
      <x:c r="N37" t="n">
        <x:f>E37*'01_SUPUESTOS'!W5</x:f>
        <x:v>804.7647849285092</x:v>
      </x:c>
      <x:c r="O37" t="n">
        <x:f>M37+N37</x:f>
        <x:v>832.8074674502157</x:v>
      </x:c>
      <x:c r="P37" t="n">
        <x:f>SUM('01_SUPUESTOS'!V5,'01_SUPUESTOS'!X5:AB5)</x:f>
        <x:v>8112.08</x:v>
      </x:c>
      <x:c r="Q37" t="n">
        <x:f>L37-O37-P37</x:f>
        <x:v>9790.575431535117</x:v>
      </x:c>
      <x:c r="R37" t="n">
        <x:f>0</x:f>
        <x:v>0</x:v>
      </x:c>
      <x:c r="S37" t="n">
        <x:f>Q37-R37</x:f>
        <x:v>9790.575431535117</x:v>
      </x:c>
      <x:c r="T37" t="n">
        <x:f>T36+S37</x:f>
        <x:v>66267.88385477893</x:v>
      </x:c>
      <x:c r="U37" t="n">
        <x:f>S37/(1+(1+'01_SUPUESTOS'!AF5)^(1/12)-1)^A37</x:f>
        <x:v>5012.774620946003</x:v>
      </x:c>
      <x:c r="V37" t="n">
        <x:f>IF(Q37&gt;=0,1,0)</x:f>
        <x:v>1</x:v>
      </x:c>
      <x:c r="W37" t="n">
        <x:f>IF(T37&gt;=0,1,0)</x:f>
        <x:v>1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27" hidden="0" customWidth="1"/>
  </x:cols>
  <x:sheetData>
    <x:row r="1">
      <x:c r="A1" s="6" t="str">
        <x:v>Escenario</x:v>
      </x:c>
      <x:c r="B1" s="6" t="str">
        <x:v>VAN calculado (control)</x:v>
      </x:c>
      <x:c r="C1" s="6" t="str">
        <x:v>Equilibrio</x:v>
      </x:c>
      <x:c r="D1" s="6" t="str">
        <x:v>Payback</x:v>
      </x:c>
      <x:c r="E1" s="6" t="str">
        <x:v>MRR mes 36</x:v>
      </x:c>
      <x:c r="F1" s="6" t="str">
        <x:v>Estudios mes 36</x:v>
      </x:c>
      <x:c r="G1" s="6" t="str">
        <x:v>Costo técnico/estudio</x:v>
      </x:c>
      <x:c r="H1" s="6"/>
      <x:c r="I1" s="6"/>
      <x:c r="J1" s="6"/>
      <x:c r="K1" s="6"/>
      <x:c r="L1" s="6"/>
      <x:c r="M1" s="6"/>
      <x:c r="N1" s="6"/>
      <x:c r="O1" s="6"/>
      <x:c r="P1" s="6"/>
      <x:c r="Q1" s="6"/>
      <x:c r="R1" s="6"/>
      <x:c r="S1" s="6"/>
      <x:c r="T1" s="6"/>
      <x:c r="U1" s="6"/>
    </x:row>
    <x:row r="2">
      <x:c r="A2" t="str">
        <x:v>Pesimista</x:v>
      </x:c>
      <x:c r="B2" t="n">
        <x:v>-105093.6</x:v>
      </x:c>
      <x:c r="C2" t="str">
        <x:v>No alcanzado</x:v>
      </x:c>
      <x:c r="D2" t="str">
        <x:v>No alcanzado</x:v>
      </x:c>
      <x:c r="E2" t="n">
        <x:v>2147.39</x:v>
      </x:c>
      <x:c r="F2" t="n">
        <x:v>431.54</x:v>
      </x:c>
      <x:c r="G2" t="n">
        <x:v>0.02</x:v>
      </x:c>
    </x:row>
    <x:row r="3">
      <x:c r="A3" t="str">
        <x:v>Base</x:v>
      </x:c>
      <x:c r="B3" t="n">
        <x:v>-18492.42</x:v>
      </x:c>
      <x:c r="C3" t="n">
        <x:v>16</x:v>
      </x:c>
      <x:c r="D3" t="n">
        <x:v>35</x:v>
      </x:c>
      <x:c r="E3" t="n">
        <x:v>16174.81</x:v>
      </x:c>
      <x:c r="F3" t="n">
        <x:v>4185.48</x:v>
      </x:c>
      <x:c r="G3" t="n">
        <x:v>0.0067</x:v>
      </x:c>
    </x:row>
    <x:row r="4">
      <x:c r="A4" t="str">
        <x:v>Optimista</x:v>
      </x:c>
      <x:c r="B4" t="n">
        <x:v>678867.07</x:v>
      </x:c>
      <x:c r="C4" t="n">
        <x:v>4</x:v>
      </x:c>
      <x:c r="D4" t="n">
        <x:v>11</x:v>
      </x:c>
      <x:c r="E4" t="n">
        <x:v>74019.72</x:v>
      </x:c>
      <x:c r="F4" t="n">
        <x:v>19247.42</x:v>
      </x:c>
      <x:c r="G4" t="n">
        <x:v>0.0024</x:v>
      </x:c>
    </x:row>
    <x:row r="5">
      <x:c r="A5" t="str">
        <x:v>Base Comercial Objetivo</x:v>
      </x:c>
      <x:c r="B5" t="n">
        <x:v>17476.73</x:v>
      </x:c>
      <x:c r="C5" t="n">
        <x:v>13</x:v>
      </x:c>
      <x:c r="D5" t="n">
        <x:v>29</x:v>
      </x:c>
      <x:c r="E5" t="n">
        <x:v>18735.46</x:v>
      </x:c>
      <x:c r="F5" t="n">
        <x:v>4185.48</x:v>
      </x:c>
      <x:c r="G5" t="n">
        <x:v>0.0067</x:v>
      </x:c>
    </x:row>
    <x:row r="7">
      <x:c r="A7" t="str">
        <x:v>Snapshot estático del cierre auditado (13/10/2026); resultados fijos, no vinculados a las entradas.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25" hidden="0" customWidth="1"/>
  </x:cols>
  <x:sheetData>
    <x:row r="1">
      <x:c r="A1" s="6" t="str">
        <x:v>Cambio sobre Base</x:v>
      </x:c>
      <x:c r="B1" s="6" t="str">
        <x:v>VAN USD</x:v>
      </x:c>
      <x:c r="C1" s="6" t="str">
        <x:v>Equilibrio mes</x:v>
      </x:c>
      <x:c r="D1" s="6" t="str">
        <x:v>Payback mes</x:v>
      </x:c>
      <x:c r="E1" s="6"/>
      <x:c r="F1" s="6"/>
      <x:c r="G1" s="6"/>
      <x:c r="H1" s="6"/>
      <x:c r="I1" s="6"/>
      <x:c r="J1" s="6"/>
      <x:c r="K1" s="6"/>
      <x:c r="L1" s="6"/>
      <x:c r="M1" s="6"/>
      <x:c r="N1" s="6"/>
      <x:c r="O1" s="6"/>
      <x:c r="P1" s="6"/>
      <x:c r="Q1" s="6"/>
      <x:c r="R1" s="6"/>
      <x:c r="S1" s="6"/>
      <x:c r="T1" s="6"/>
      <x:c r="U1" s="6"/>
    </x:row>
    <x:row r="2">
      <x:c r="A2" t="str">
        <x:v>Pricing -20%</x:v>
      </x:c>
      <x:c r="B2" t="n">
        <x:v>-63895.61</x:v>
      </x:c>
      <x:c r="C2" t="n">
        <x:v>21</x:v>
      </x:c>
      <x:c r="D2" t="str">
        <x:v>No alcanzado</x:v>
      </x:c>
    </x:row>
    <x:row r="3">
      <x:c r="A3" t="str">
        <x:v>Base</x:v>
      </x:c>
      <x:c r="B3" t="n">
        <x:v>-18492.42</x:v>
      </x:c>
      <x:c r="C3" t="n">
        <x:v>16</x:v>
      </x:c>
      <x:c r="D3" t="n">
        <x:v>35</x:v>
      </x:c>
    </x:row>
    <x:row r="4">
      <x:c r="A4" t="str">
        <x:v>Pricing +20%</x:v>
      </x:c>
      <x:c r="B4" t="n">
        <x:v>26910.78</x:v>
      </x:c>
      <x:c r="C4" t="n">
        <x:v>12</x:v>
      </x:c>
      <x:c r="D4" t="n">
        <x:v>28</x:v>
      </x:c>
    </x:row>
    <x:row r="5">
      <x:c r="A5" t="str">
        <x:v>Costo Cloud -30%</x:v>
      </x:c>
      <x:c r="B5" t="n">
        <x:v>-18375.52</x:v>
      </x:c>
      <x:c r="C5" t="n">
        <x:v>16</x:v>
      </x:c>
      <x:c r="D5" t="n">
        <x:v>35</x:v>
      </x:c>
    </x:row>
    <x:row r="6">
      <x:c r="A6" t="str">
        <x:v>Costo Cloud +30%</x:v>
      </x:c>
      <x:c r="B6" t="n">
        <x:v>-18609.31</x:v>
      </x:c>
      <x:c r="C6" t="n">
        <x:v>16</x:v>
      </x:c>
      <x:c r="D6" t="n">
        <x:v>35</x:v>
      </x:c>
    </x:row>
    <x:row r="8">
      <x:c r="A8" t="str">
        <x:v>Snapshot estático de sensibilidad del escenario Base auditado (13/10/2026); resultados fijos, no vinculados a las entradas.</x:v>
      </x:c>
    </x:row>
  </x:sheetData>
  <x:pageMargins left="0.7" right="0.7" top="0.75" bottom="0.75" header="0.3" footer="0.3"/>
</x:worksheet>
</file>