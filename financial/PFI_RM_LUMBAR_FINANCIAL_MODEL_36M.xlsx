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1_ASSUMPTIONS" sheetId="2" state="visible" r:id="rId2"/>
    <sheet xmlns:r="http://schemas.openxmlformats.org/officeDocument/2006/relationships" name="02_PRICING" sheetId="3" state="visible" r:id="rId3"/>
    <sheet xmlns:r="http://schemas.openxmlformats.org/officeDocument/2006/relationships" name="04_CASH_FLOW" sheetId="4" state="visible" r:id="rId4"/>
    <sheet xmlns:r="http://schemas.openxmlformats.org/officeDocument/2006/relationships" name="05_KPIS" sheetId="5" state="visible" r:id="rId5"/>
    <sheet xmlns:r="http://schemas.openxmlformats.org/officeDocument/2006/relationships" name="03_SCENARIOS" sheetId="6" state="visible" r:id="rId6"/>
    <sheet xmlns:r="http://schemas.openxmlformats.org/officeDocument/2006/relationships" name="06_BREAK_EVEN" sheetId="7" state="visible" r:id="rId7"/>
    <sheet xmlns:r="http://schemas.openxmlformats.org/officeDocument/2006/relationships" name="07_SENSITIVITY" sheetId="8" state="visible" r:id="rId8"/>
    <sheet xmlns:r="http://schemas.openxmlformats.org/officeDocument/2006/relationships" name="08_BASE_VIABLE" sheetId="9" state="visible" r:id="rId9"/>
  </sheets>
  <definedNames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#,##0.0"/>
  </numFmts>
  <fonts count="6">
    <font>
      <name val="Carlito"/>
      <sz val="11"/>
    </font>
    <font>
      <name val="Aptos"/>
      <b val="1"/>
      <color rgb="FFFFFFFF"/>
      <sz val="14"/>
    </font>
    <font>
      <name val="Aptos"/>
      <b val="1"/>
      <sz val="11"/>
    </font>
    <font>
      <name val="Aptos"/>
      <b val="1"/>
      <color rgb="FFFFFFFF"/>
      <sz val="1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9"/>
      </patternFill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.5" customWidth="1" min="1" max="1"/>
    <col width="80.87999725341797" customWidth="1" min="2" max="2"/>
  </cols>
  <sheetData>
    <row r="1">
      <c r="A1" s="2" t="inlineStr">
        <is>
          <t>PFI RM Lumbar - 36-month editable financial model</t>
        </is>
      </c>
    </row>
    <row r="3">
      <c r="A3" s="3" t="inlineStr">
        <is>
          <t>Purpose</t>
        </is>
      </c>
      <c r="B3" t="inlineStr">
        <is>
          <t>Editable academic financial model for the lumbar MRI MVP business/economic chapter.</t>
        </is>
      </c>
    </row>
    <row r="4">
      <c r="A4" s="3" t="inlineStr">
        <is>
          <t>Currency</t>
        </is>
      </c>
      <c r="B4" t="inlineStr">
        <is>
          <t>USD</t>
        </is>
      </c>
    </row>
    <row r="5">
      <c r="A5" s="3" t="inlineStr">
        <is>
          <t>Horizon</t>
        </is>
      </c>
      <c r="B5" t="inlineStr">
        <is>
          <t>36 months</t>
        </is>
      </c>
    </row>
    <row r="6">
      <c r="A6" s="3" t="inlineStr">
        <is>
          <t>Scenario selector</t>
        </is>
      </c>
      <c r="B6" t="inlineStr">
        <is>
          <t>Cell 01_ASSUMPTIONS!B2 controls the active model.</t>
        </is>
      </c>
    </row>
    <row r="7">
      <c r="A7" s="3" t="inlineStr">
        <is>
          <t>Scenarios</t>
        </is>
      </c>
      <c r="B7" t="inlineStr">
        <is>
          <t>Pesimista / Base / Optimista</t>
        </is>
      </c>
    </row>
    <row r="8">
      <c r="A8" s="3" t="inlineStr">
        <is>
          <t>Important limitation</t>
        </is>
      </c>
      <c r="B8" t="inlineStr">
        <is>
          <t>All prices, costs, conversion, churn and demand assumptions are provisional and require external validation.</t>
        </is>
      </c>
    </row>
    <row r="9">
      <c r="A9" s="3" t="inlineStr">
        <is>
          <t>Clinical/commercial status</t>
        </is>
      </c>
      <c r="B9" t="inlineStr">
        <is>
          <t>The model does not claim clinical adoption, reimbursability, procurement approval or productive availability.</t>
        </is>
      </c>
    </row>
    <row r="10">
      <c r="A10" s="3" t="inlineStr">
        <is>
          <t>Editable sheets</t>
        </is>
      </c>
      <c r="B10" t="inlineStr">
        <is>
          <t>01_ASSUMPTIONS, 02_PRICING, 04_CASH_FLOW</t>
        </is>
      </c>
    </row>
    <row r="11">
      <c r="A11" s="3" t="inlineStr">
        <is>
          <t>Formula sheets</t>
        </is>
      </c>
      <c r="B11" t="inlineStr">
        <is>
          <t>04_CASH_FLOW, 05_KPIS, 06_BREAK_EVEN, 07_SENSITIVITY</t>
        </is>
      </c>
    </row>
    <row r="12">
      <c r="A12" s="3" t="inlineStr">
        <is>
          <t>Non-functional scope</t>
        </is>
      </c>
      <c r="B12" t="inlineStr">
        <is>
          <t>No LaTeX update, no code change, no macros.</t>
        </is>
      </c>
    </row>
    <row r="13">
      <c r="A13" s="3" t="inlineStr">
        <is>
          <t>Validation note</t>
        </is>
      </c>
      <c r="B13" t="inlineStr">
        <is>
          <t>Generated and checked programmatically; open in Excel/LibreOffice to recalculate after manual edits.</t>
        </is>
      </c>
    </row>
    <row r="14">
      <c r="A14" s="3" t="inlineStr">
        <is>
          <t>Repository note</t>
        </is>
      </c>
      <c r="B14" t="inlineStr">
        <is>
          <t>This workbook is documentation/business-model evidence only.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activeCell="A1" sqref="A1"/>
    </sheetView>
  </sheetViews>
  <sheetFormatPr baseColWidth="8" defaultRowHeight="15"/>
  <cols>
    <col width="11.88000011444092" customWidth="1" min="1" max="1"/>
    <col width="27.1299991607666" customWidth="1" min="2" max="2"/>
    <col width="7.75" customWidth="1" min="3" max="3"/>
    <col width="17" customWidth="1" min="4" max="4"/>
    <col width="8" customWidth="1" min="5" max="5"/>
    <col width="19.25" customWidth="1" min="6" max="6"/>
    <col width="5.380000114440918" customWidth="1" min="7" max="7"/>
    <col width="35.75" customWidth="1" min="8" max="8"/>
    <col width="37.5" customWidth="1" min="9" max="9"/>
    <col width="9.75" customWidth="1" min="10" max="10"/>
  </cols>
  <sheetData>
    <row r="1">
      <c r="A1" s="4" t="inlineStr">
        <is>
          <t>Category</t>
        </is>
      </c>
      <c r="B1" s="4" t="inlineStr">
        <is>
          <t>Variable</t>
        </is>
      </c>
      <c r="C1" s="4" t="inlineStr">
        <is>
          <t>Pesimista</t>
        </is>
      </c>
      <c r="D1" s="4" t="inlineStr">
        <is>
          <t>Base</t>
        </is>
      </c>
      <c r="E1" s="4" t="inlineStr">
        <is>
          <t>Optimista</t>
        </is>
      </c>
      <c r="F1" s="4" t="inlineStr">
        <is>
          <t>Unit</t>
        </is>
      </c>
      <c r="G1" s="4" t="inlineStr">
        <is>
          <t>Type</t>
        </is>
      </c>
      <c r="H1" s="4" t="inlineStr">
        <is>
          <t>Justification</t>
        </is>
      </c>
      <c r="I1" s="4" t="inlineStr">
        <is>
          <t>Source / pending</t>
        </is>
      </c>
      <c r="J1" s="4" t="inlineStr">
        <is>
          <t>Active value</t>
        </is>
      </c>
    </row>
    <row r="2">
      <c r="A2" t="inlineStr">
        <is>
          <t>Active scenario</t>
        </is>
      </c>
      <c r="B2" t="inlineStr">
        <is>
          <t>Base</t>
        </is>
      </c>
      <c r="D2" t="inlineStr">
        <is>
          <t>Monthly discount rate</t>
        </is>
      </c>
      <c r="E2" s="8">
        <f>(1+INDEX($J$5:$J$39,MATCH("annual_discount_rate",$B$5:$B$39,0)))^(1/12)-1</f>
        <v/>
      </c>
    </row>
    <row r="4">
      <c r="A4" s="4" t="inlineStr">
        <is>
          <t>Category</t>
        </is>
      </c>
      <c r="B4" s="4" t="inlineStr">
        <is>
          <t>Variable</t>
        </is>
      </c>
      <c r="C4" s="4" t="inlineStr">
        <is>
          <t>Pesimista</t>
        </is>
      </c>
      <c r="D4" s="4" t="inlineStr">
        <is>
          <t>Base</t>
        </is>
      </c>
      <c r="E4" s="4" t="inlineStr">
        <is>
          <t>Optimista</t>
        </is>
      </c>
      <c r="F4" s="4" t="inlineStr">
        <is>
          <t>Unit</t>
        </is>
      </c>
      <c r="G4" s="4" t="inlineStr">
        <is>
          <t>Type</t>
        </is>
      </c>
      <c r="H4" s="4" t="inlineStr">
        <is>
          <t>Justification</t>
        </is>
      </c>
      <c r="I4" s="4" t="inlineStr">
        <is>
          <t>Source / pending</t>
        </is>
      </c>
      <c r="J4" s="4" t="inlineStr">
        <is>
          <t>Active value</t>
        </is>
      </c>
    </row>
    <row r="5">
      <c r="A5" t="inlineStr">
        <is>
          <t>General</t>
        </is>
      </c>
      <c r="B5" t="inlineStr">
        <is>
          <t>horizon_months</t>
        </is>
      </c>
      <c r="C5" s="9" t="n">
        <v>36</v>
      </c>
      <c r="D5" s="9" t="n">
        <v>36</v>
      </c>
      <c r="E5" s="9" t="n">
        <v>36</v>
      </c>
      <c r="F5" t="inlineStr">
        <is>
          <t>months</t>
        </is>
      </c>
      <c r="G5" t="inlineStr">
        <is>
          <t>input</t>
        </is>
      </c>
      <c r="H5" t="inlineStr">
        <is>
          <t>Model horizon requested for the business plan.</t>
        </is>
      </c>
      <c r="I5" t="inlineStr">
        <is>
          <t>Defined by scope; validate with thesis committee.</t>
        </is>
      </c>
      <c r="J5" s="9">
        <f>CHOOSE(MATCH($B$2,$C$4:$E$4,0),C5,D5,E5)</f>
        <v/>
      </c>
    </row>
    <row r="6">
      <c r="A6" t="inlineStr">
        <is>
          <t>General</t>
        </is>
      </c>
      <c r="B6" t="inlineStr">
        <is>
          <t>annual_discount_rate</t>
        </is>
      </c>
      <c r="C6" s="8" t="n">
        <v>0.35</v>
      </c>
      <c r="D6" s="8" t="n">
        <v>0.25</v>
      </c>
      <c r="E6" s="8" t="n">
        <v>0.18</v>
      </c>
      <c r="F6" t="inlineStr">
        <is>
          <t>%</t>
        </is>
      </c>
      <c r="G6" t="inlineStr">
        <is>
          <t>input</t>
        </is>
      </c>
      <c r="H6" t="inlineStr">
        <is>
          <t>Risk-adjusted prototype-stage discount rate.</t>
        </is>
      </c>
      <c r="I6" t="inlineStr">
        <is>
          <t>Pending local WACC/risk benchmark.</t>
        </is>
      </c>
      <c r="J6" s="8">
        <f>CHOOSE(MATCH($B$2,$C$4:$E$4,0),C6,D6,E6)</f>
        <v/>
      </c>
    </row>
    <row r="7">
      <c r="A7" t="inlineStr">
        <is>
          <t>General</t>
        </is>
      </c>
      <c r="B7" t="inlineStr">
        <is>
          <t>fx_usd_ars</t>
        </is>
      </c>
      <c r="C7" s="9" t="n">
        <v>1000</v>
      </c>
      <c r="D7" s="9" t="n">
        <v>1000</v>
      </c>
      <c r="E7" s="9" t="n">
        <v>1000</v>
      </c>
      <c r="F7" t="inlineStr">
        <is>
          <t>ARS/USD</t>
        </is>
      </c>
      <c r="G7" t="inlineStr">
        <is>
          <t>memo</t>
        </is>
      </c>
      <c r="H7" t="inlineStr">
        <is>
          <t>Reference FX only; workbook currency is USD.</t>
        </is>
      </c>
      <c r="I7" t="inlineStr">
        <is>
          <t>Pending finance source at decision date.</t>
        </is>
      </c>
      <c r="J7" s="9">
        <f>CHOOSE(MATCH($B$2,$C$4:$E$4,0),C7,D7,E7)</f>
        <v/>
      </c>
    </row>
    <row r="8">
      <c r="A8" t="inlineStr">
        <is>
          <t>Pricing</t>
        </is>
      </c>
      <c r="B8" t="inlineStr">
        <is>
          <t>starter_fee</t>
        </is>
      </c>
      <c r="C8" s="9" t="n">
        <v>400</v>
      </c>
      <c r="D8" s="9" t="n">
        <v>600</v>
      </c>
      <c r="E8" s="9" t="n">
        <v>900</v>
      </c>
      <c r="F8" t="inlineStr">
        <is>
          <t>USD/month</t>
        </is>
      </c>
      <c r="G8" t="inlineStr">
        <is>
          <t>input</t>
        </is>
      </c>
      <c r="H8" t="inlineStr">
        <is>
          <t>Entry institutional pilot package.</t>
        </is>
      </c>
      <c r="I8" t="inlineStr">
        <is>
          <t>Pending willingness-to-pay interviews.</t>
        </is>
      </c>
      <c r="J8" s="9">
        <f>CHOOSE(MATCH($B$2,$C$4:$E$4,0),C8,D8,E8)</f>
        <v/>
      </c>
    </row>
    <row r="9">
      <c r="A9" t="inlineStr">
        <is>
          <t>Pricing</t>
        </is>
      </c>
      <c r="B9" t="inlineStr">
        <is>
          <t>starter_included_studies</t>
        </is>
      </c>
      <c r="C9" s="9" t="n">
        <v>80</v>
      </c>
      <c r="D9" s="9" t="n">
        <v>120</v>
      </c>
      <c r="E9" s="9" t="n">
        <v>180</v>
      </c>
      <c r="F9" t="inlineStr">
        <is>
          <t>studies/month</t>
        </is>
      </c>
      <c r="G9" t="inlineStr">
        <is>
          <t>input</t>
        </is>
      </c>
      <c r="H9" t="inlineStr">
        <is>
          <t>Included volume for entry package.</t>
        </is>
      </c>
      <c r="I9" t="inlineStr">
        <is>
          <t>Pending real usage distribution.</t>
        </is>
      </c>
      <c r="J9" s="9">
        <f>CHOOSE(MATCH($B$2,$C$4:$E$4,0),C9,D9,E9)</f>
        <v/>
      </c>
    </row>
    <row r="10">
      <c r="A10" t="inlineStr">
        <is>
          <t>Pricing</t>
        </is>
      </c>
      <c r="B10" t="inlineStr">
        <is>
          <t>starter_overage_fee</t>
        </is>
      </c>
      <c r="C10" s="9" t="n">
        <v>6</v>
      </c>
      <c r="D10" s="9" t="n">
        <v>8</v>
      </c>
      <c r="E10" s="9" t="n">
        <v>10</v>
      </c>
      <c r="F10" t="inlineStr">
        <is>
          <t>USD/study</t>
        </is>
      </c>
      <c r="G10" t="inlineStr">
        <is>
          <t>input</t>
        </is>
      </c>
      <c r="H10" t="inlineStr">
        <is>
          <t>Overage per processed study.</t>
        </is>
      </c>
      <c r="I10" t="inlineStr">
        <is>
          <t>Pending commercial validation.</t>
        </is>
      </c>
      <c r="J10" s="9">
        <f>CHOOSE(MATCH($B$2,$C$4:$E$4,0),C10,D10,E10)</f>
        <v/>
      </c>
    </row>
    <row r="11">
      <c r="A11" t="inlineStr">
        <is>
          <t>Pricing</t>
        </is>
      </c>
      <c r="B11" t="inlineStr">
        <is>
          <t>professional_fee</t>
        </is>
      </c>
      <c r="C11" s="9" t="n">
        <v>1100</v>
      </c>
      <c r="D11" s="9" t="n">
        <v>1600</v>
      </c>
      <c r="E11" s="9" t="n">
        <v>2300</v>
      </c>
      <c r="F11" t="inlineStr">
        <is>
          <t>USD/month</t>
        </is>
      </c>
      <c r="G11" t="inlineStr">
        <is>
          <t>input</t>
        </is>
      </c>
      <c r="H11" t="inlineStr">
        <is>
          <t>Mid-tier institutional subscription.</t>
        </is>
      </c>
      <c r="I11" t="inlineStr">
        <is>
          <t>Pending willingness-to-pay interviews.</t>
        </is>
      </c>
      <c r="J11" s="9">
        <f>CHOOSE(MATCH($B$2,$C$4:$E$4,0),C11,D11,E11)</f>
        <v/>
      </c>
    </row>
    <row r="12">
      <c r="A12" t="inlineStr">
        <is>
          <t>Pricing</t>
        </is>
      </c>
      <c r="B12" t="inlineStr">
        <is>
          <t>professional_included_studies</t>
        </is>
      </c>
      <c r="C12" s="9" t="n">
        <v>300</v>
      </c>
      <c r="D12" s="9" t="n">
        <v>500</v>
      </c>
      <c r="E12" s="9" t="n">
        <v>750</v>
      </c>
      <c r="F12" t="inlineStr">
        <is>
          <t>studies/month</t>
        </is>
      </c>
      <c r="G12" t="inlineStr">
        <is>
          <t>input</t>
        </is>
      </c>
      <c r="H12" t="inlineStr">
        <is>
          <t>Included volume for mid-tier package.</t>
        </is>
      </c>
      <c r="I12" t="inlineStr">
        <is>
          <t>Pending real usage distribution.</t>
        </is>
      </c>
      <c r="J12" s="9">
        <f>CHOOSE(MATCH($B$2,$C$4:$E$4,0),C12,D12,E12)</f>
        <v/>
      </c>
    </row>
    <row r="13">
      <c r="A13" t="inlineStr">
        <is>
          <t>Pricing</t>
        </is>
      </c>
      <c r="B13" t="inlineStr">
        <is>
          <t>professional_overage_fee</t>
        </is>
      </c>
      <c r="C13" s="9" t="n">
        <v>4.5</v>
      </c>
      <c r="D13" s="9" t="n">
        <v>6</v>
      </c>
      <c r="E13" s="9" t="n">
        <v>8</v>
      </c>
      <c r="F13" t="inlineStr">
        <is>
          <t>USD/study</t>
        </is>
      </c>
      <c r="G13" t="inlineStr">
        <is>
          <t>input</t>
        </is>
      </c>
      <c r="H13" t="inlineStr">
        <is>
          <t>Mid-tier overage price.</t>
        </is>
      </c>
      <c r="I13" t="inlineStr">
        <is>
          <t>Pending commercial validation.</t>
        </is>
      </c>
      <c r="J13" s="9">
        <f>CHOOSE(MATCH($B$2,$C$4:$E$4,0),C13,D13,E13)</f>
        <v/>
      </c>
    </row>
    <row r="14">
      <c r="A14" t="inlineStr">
        <is>
          <t>Pricing</t>
        </is>
      </c>
      <c r="B14" t="inlineStr">
        <is>
          <t>enterprise_fee</t>
        </is>
      </c>
      <c r="C14" s="9" t="n">
        <v>3000</v>
      </c>
      <c r="D14" s="9" t="n">
        <v>4500</v>
      </c>
      <c r="E14" s="9" t="n">
        <v>7000</v>
      </c>
      <c r="F14" t="inlineStr">
        <is>
          <t>USD/month</t>
        </is>
      </c>
      <c r="G14" t="inlineStr">
        <is>
          <t>input</t>
        </is>
      </c>
      <c r="H14" t="inlineStr">
        <is>
          <t>Large-center subscription.</t>
        </is>
      </c>
      <c r="I14" t="inlineStr">
        <is>
          <t>Pending enterprise procurement validation.</t>
        </is>
      </c>
      <c r="J14" s="9">
        <f>CHOOSE(MATCH($B$2,$C$4:$E$4,0),C14,D14,E14)</f>
        <v/>
      </c>
    </row>
    <row r="15">
      <c r="A15" t="inlineStr">
        <is>
          <t>Pricing</t>
        </is>
      </c>
      <c r="B15" t="inlineStr">
        <is>
          <t>enterprise_included_studies</t>
        </is>
      </c>
      <c r="C15" s="9" t="n">
        <v>900</v>
      </c>
      <c r="D15" s="9" t="n">
        <v>1500</v>
      </c>
      <c r="E15" s="9" t="n">
        <v>2400</v>
      </c>
      <c r="F15" t="inlineStr">
        <is>
          <t>studies/month</t>
        </is>
      </c>
      <c r="G15" t="inlineStr">
        <is>
          <t>input</t>
        </is>
      </c>
      <c r="H15" t="inlineStr">
        <is>
          <t>Included volume for large-center package.</t>
        </is>
      </c>
      <c r="I15" t="inlineStr">
        <is>
          <t>Pending real usage distribution.</t>
        </is>
      </c>
      <c r="J15" s="9">
        <f>CHOOSE(MATCH($B$2,$C$4:$E$4,0),C15,D15,E15)</f>
        <v/>
      </c>
    </row>
    <row r="16">
      <c r="A16" t="inlineStr">
        <is>
          <t>Pricing</t>
        </is>
      </c>
      <c r="B16" t="inlineStr">
        <is>
          <t>enterprise_overage_fee</t>
        </is>
      </c>
      <c r="C16" s="9" t="n">
        <v>3</v>
      </c>
      <c r="D16" s="9" t="n">
        <v>4</v>
      </c>
      <c r="E16" s="9" t="n">
        <v>5</v>
      </c>
      <c r="F16" t="inlineStr">
        <is>
          <t>USD/study</t>
        </is>
      </c>
      <c r="G16" t="inlineStr">
        <is>
          <t>input</t>
        </is>
      </c>
      <c r="H16" t="inlineStr">
        <is>
          <t>Large-tier overage price.</t>
        </is>
      </c>
      <c r="I16" t="inlineStr">
        <is>
          <t>Pending commercial validation.</t>
        </is>
      </c>
      <c r="J16" s="9">
        <f>CHOOSE(MATCH($B$2,$C$4:$E$4,0),C16,D16,E16)</f>
        <v/>
      </c>
    </row>
    <row r="17">
      <c r="A17" t="inlineStr">
        <is>
          <t>Customers</t>
        </is>
      </c>
      <c r="B17" t="inlineStr">
        <is>
          <t>starter_initial_customers</t>
        </is>
      </c>
      <c r="C17" s="9" t="n">
        <v>0</v>
      </c>
      <c r="D17" s="9" t="n">
        <v>1</v>
      </c>
      <c r="E17" s="9" t="n">
        <v>2</v>
      </c>
      <c r="F17" t="inlineStr">
        <is>
          <t>customers</t>
        </is>
      </c>
      <c r="G17" t="inlineStr">
        <is>
          <t>input</t>
        </is>
      </c>
      <c r="H17" t="inlineStr">
        <is>
          <t>Initial post-launch customer count.</t>
        </is>
      </c>
      <c r="I17" t="inlineStr">
        <is>
          <t>Pending pilot pipeline.</t>
        </is>
      </c>
      <c r="J17" s="9">
        <f>CHOOSE(MATCH($B$2,$C$4:$E$4,0),C17,D17,E17)</f>
        <v/>
      </c>
    </row>
    <row r="18">
      <c r="A18" t="inlineStr">
        <is>
          <t>Customers</t>
        </is>
      </c>
      <c r="B18" t="inlineStr">
        <is>
          <t>professional_initial_customers</t>
        </is>
      </c>
      <c r="C18" s="9" t="n">
        <v>0</v>
      </c>
      <c r="D18" s="9" t="n">
        <v>0</v>
      </c>
      <c r="E18" s="9" t="n">
        <v>1</v>
      </c>
      <c r="F18" t="inlineStr">
        <is>
          <t>customers</t>
        </is>
      </c>
      <c r="G18" t="inlineStr">
        <is>
          <t>input</t>
        </is>
      </c>
      <c r="H18" t="inlineStr">
        <is>
          <t>Initial post-launch customer count.</t>
        </is>
      </c>
      <c r="I18" t="inlineStr">
        <is>
          <t>Pending pilot pipeline.</t>
        </is>
      </c>
      <c r="J18" s="9">
        <f>CHOOSE(MATCH($B$2,$C$4:$E$4,0),C18,D18,E18)</f>
        <v/>
      </c>
    </row>
    <row r="19">
      <c r="A19" t="inlineStr">
        <is>
          <t>Customers</t>
        </is>
      </c>
      <c r="B19" t="inlineStr">
        <is>
          <t>enterprise_initial_customers</t>
        </is>
      </c>
      <c r="C19" s="9" t="n">
        <v>0</v>
      </c>
      <c r="D19" s="9" t="n">
        <v>0</v>
      </c>
      <c r="E19" s="9" t="n">
        <v>0</v>
      </c>
      <c r="F19" t="inlineStr">
        <is>
          <t>customers</t>
        </is>
      </c>
      <c r="G19" t="inlineStr">
        <is>
          <t>input</t>
        </is>
      </c>
      <c r="H19" t="inlineStr">
        <is>
          <t>Initial post-launch customer count.</t>
        </is>
      </c>
      <c r="I19" t="inlineStr">
        <is>
          <t>Pending enterprise pipeline.</t>
        </is>
      </c>
      <c r="J19" s="9">
        <f>CHOOSE(MATCH($B$2,$C$4:$E$4,0),C19,D19,E19)</f>
        <v/>
      </c>
    </row>
    <row r="20">
      <c r="A20" t="inlineStr">
        <is>
          <t>Customers</t>
        </is>
      </c>
      <c r="B20" t="inlineStr">
        <is>
          <t>starter_monthly_acquisition</t>
        </is>
      </c>
      <c r="C20" s="9" t="n">
        <v>0.15</v>
      </c>
      <c r="D20" s="9" t="n">
        <v>0.35</v>
      </c>
      <c r="E20" s="9" t="n">
        <v>0.75</v>
      </c>
      <c r="F20" t="inlineStr">
        <is>
          <t>customers/month</t>
        </is>
      </c>
      <c r="G20" t="inlineStr">
        <is>
          <t>input</t>
        </is>
      </c>
      <c r="H20" t="inlineStr">
        <is>
          <t>Average new customers per month.</t>
        </is>
      </c>
      <c r="I20" t="inlineStr">
        <is>
          <t>Pending go-to-market evidence.</t>
        </is>
      </c>
      <c r="J20" s="9">
        <f>CHOOSE(MATCH($B$2,$C$4:$E$4,0),C20,D20,E20)</f>
        <v/>
      </c>
    </row>
    <row r="21">
      <c r="A21" t="inlineStr">
        <is>
          <t>Customers</t>
        </is>
      </c>
      <c r="B21" t="inlineStr">
        <is>
          <t>professional_monthly_acquisition</t>
        </is>
      </c>
      <c r="C21" s="9" t="n">
        <v>0.04</v>
      </c>
      <c r="D21" s="9" t="n">
        <v>0.12</v>
      </c>
      <c r="E21" s="9" t="n">
        <v>0.3</v>
      </c>
      <c r="F21" t="inlineStr">
        <is>
          <t>customers/month</t>
        </is>
      </c>
      <c r="G21" t="inlineStr">
        <is>
          <t>input</t>
        </is>
      </c>
      <c r="H21" t="inlineStr">
        <is>
          <t>Average new customers per month.</t>
        </is>
      </c>
      <c r="I21" t="inlineStr">
        <is>
          <t>Pending go-to-market evidence.</t>
        </is>
      </c>
      <c r="J21" s="9">
        <f>CHOOSE(MATCH($B$2,$C$4:$E$4,0),C21,D21,E21)</f>
        <v/>
      </c>
    </row>
    <row r="22">
      <c r="A22" t="inlineStr">
        <is>
          <t>Customers</t>
        </is>
      </c>
      <c r="B22" t="inlineStr">
        <is>
          <t>enterprise_monthly_acquisition</t>
        </is>
      </c>
      <c r="C22" s="9" t="n">
        <v>0</v>
      </c>
      <c r="D22" s="9" t="n">
        <v>0.03</v>
      </c>
      <c r="E22" s="9" t="n">
        <v>0.08</v>
      </c>
      <c r="F22" t="inlineStr">
        <is>
          <t>customers/month</t>
        </is>
      </c>
      <c r="G22" t="inlineStr">
        <is>
          <t>input</t>
        </is>
      </c>
      <c r="H22" t="inlineStr">
        <is>
          <t>Average new customers per month.</t>
        </is>
      </c>
      <c r="I22" t="inlineStr">
        <is>
          <t>Pending enterprise sales cycle validation.</t>
        </is>
      </c>
      <c r="J22" s="9">
        <f>CHOOSE(MATCH($B$2,$C$4:$E$4,0),C22,D22,E22)</f>
        <v/>
      </c>
    </row>
    <row r="23">
      <c r="A23" t="inlineStr">
        <is>
          <t>Customers</t>
        </is>
      </c>
      <c r="B23" t="inlineStr">
        <is>
          <t>monthly_churn</t>
        </is>
      </c>
      <c r="C23" s="8" t="n">
        <v>0.035</v>
      </c>
      <c r="D23" s="8" t="n">
        <v>0.02</v>
      </c>
      <c r="E23" s="8" t="n">
        <v>0.01</v>
      </c>
      <c r="F23" t="inlineStr">
        <is>
          <t>%/month</t>
        </is>
      </c>
      <c r="G23" t="inlineStr">
        <is>
          <t>input</t>
        </is>
      </c>
      <c r="H23" t="inlineStr">
        <is>
          <t>Prototype retention assumption.</t>
        </is>
      </c>
      <c r="I23" t="inlineStr">
        <is>
          <t>Pending cohort data.</t>
        </is>
      </c>
      <c r="J23" s="8">
        <f>CHOOSE(MATCH($B$2,$C$4:$E$4,0),C23,D23,E23)</f>
        <v/>
      </c>
    </row>
    <row r="24">
      <c r="A24" t="inlineStr">
        <is>
          <t>Usage</t>
        </is>
      </c>
      <c r="B24" t="inlineStr">
        <is>
          <t>starter_studies_per_customer</t>
        </is>
      </c>
      <c r="C24" s="9" t="n">
        <v>70</v>
      </c>
      <c r="D24" s="9" t="n">
        <v>130</v>
      </c>
      <c r="E24" s="9" t="n">
        <v>190</v>
      </c>
      <c r="F24" t="inlineStr">
        <is>
          <t>studies/customer/month</t>
        </is>
      </c>
      <c r="G24" t="inlineStr">
        <is>
          <t>input</t>
        </is>
      </c>
      <c r="H24" t="inlineStr">
        <is>
          <t>Average monthly processed studies.</t>
        </is>
      </c>
      <c r="I24" t="inlineStr">
        <is>
          <t>Pending anonymized operational logs.</t>
        </is>
      </c>
      <c r="J24" s="9">
        <f>CHOOSE(MATCH($B$2,$C$4:$E$4,0),C24,D24,E24)</f>
        <v/>
      </c>
    </row>
    <row r="25">
      <c r="A25" t="inlineStr">
        <is>
          <t>Usage</t>
        </is>
      </c>
      <c r="B25" t="inlineStr">
        <is>
          <t>professional_studies_per_customer</t>
        </is>
      </c>
      <c r="C25" s="9" t="n">
        <v>260</v>
      </c>
      <c r="D25" s="9" t="n">
        <v>550</v>
      </c>
      <c r="E25" s="9" t="n">
        <v>850</v>
      </c>
      <c r="F25" t="inlineStr">
        <is>
          <t>studies/customer/month</t>
        </is>
      </c>
      <c r="G25" t="inlineStr">
        <is>
          <t>input</t>
        </is>
      </c>
      <c r="H25" t="inlineStr">
        <is>
          <t>Average monthly processed studies.</t>
        </is>
      </c>
      <c r="I25" t="inlineStr">
        <is>
          <t>Pending anonymized operational logs.</t>
        </is>
      </c>
      <c r="J25" s="9">
        <f>CHOOSE(MATCH($B$2,$C$4:$E$4,0),C25,D25,E25)</f>
        <v/>
      </c>
    </row>
    <row r="26">
      <c r="A26" t="inlineStr">
        <is>
          <t>Usage</t>
        </is>
      </c>
      <c r="B26" t="inlineStr">
        <is>
          <t>enterprise_studies_per_customer</t>
        </is>
      </c>
      <c r="C26" s="9" t="n">
        <v>800</v>
      </c>
      <c r="D26" s="9" t="n">
        <v>1600</v>
      </c>
      <c r="E26" s="9" t="n">
        <v>2600</v>
      </c>
      <c r="F26" t="inlineStr">
        <is>
          <t>studies/customer/month</t>
        </is>
      </c>
      <c r="G26" t="inlineStr">
        <is>
          <t>input</t>
        </is>
      </c>
      <c r="H26" t="inlineStr">
        <is>
          <t>Average monthly processed studies.</t>
        </is>
      </c>
      <c r="I26" t="inlineStr">
        <is>
          <t>Pending anonymized operational logs.</t>
        </is>
      </c>
      <c r="J26" s="9">
        <f>CHOOSE(MATCH($B$2,$C$4:$E$4,0),C26,D26,E26)</f>
        <v/>
      </c>
    </row>
    <row r="27">
      <c r="A27" t="inlineStr">
        <is>
          <t>Variable costs</t>
        </is>
      </c>
      <c r="B27" t="inlineStr">
        <is>
          <t>cloud_cost_per_study</t>
        </is>
      </c>
      <c r="C27" s="9" t="n">
        <v>0.2</v>
      </c>
      <c r="D27" s="9" t="n">
        <v>0.08</v>
      </c>
      <c r="E27" s="9" t="n">
        <v>0.03</v>
      </c>
      <c r="F27" t="inlineStr">
        <is>
          <t>USD/study</t>
        </is>
      </c>
      <c r="G27" t="inlineStr">
        <is>
          <t>ESTIMATED</t>
        </is>
      </c>
      <c r="H27" t="inlineStr">
        <is>
          <t>Per-study technical cloud estimate, separated from commercial support allocation.</t>
        </is>
      </c>
      <c r="I27" t="inlineStr">
        <is>
          <t>CLOUD_COST_MODEL.md; local performance baseline; official Google Cloud pricing.</t>
        </is>
      </c>
      <c r="J27" s="9">
        <f>CHOOSE(MATCH($B$2,$C$4:$E$4,0),C27,D27,E27)</f>
        <v/>
      </c>
    </row>
    <row r="28">
      <c r="A28" t="inlineStr">
        <is>
          <t>Variable costs</t>
        </is>
      </c>
      <c r="B28" t="inlineStr">
        <is>
          <t>storage_cost_per_study</t>
        </is>
      </c>
      <c r="C28" s="9" t="n">
        <v>0.06</v>
      </c>
      <c r="D28" s="9" t="n">
        <v>0.03</v>
      </c>
      <c r="E28" s="9" t="n">
        <v>0.015</v>
      </c>
      <c r="F28" t="inlineStr">
        <is>
          <t>USD/study</t>
        </is>
      </c>
      <c r="G28" t="inlineStr">
        <is>
          <t>ESTIMATED</t>
        </is>
      </c>
      <c r="H28" t="inlineStr">
        <is>
          <t>Per-study technical cloud estimate, separated from commercial support allocation.</t>
        </is>
      </c>
      <c r="I28" t="inlineStr">
        <is>
          <t>CLOUD_COST_MODEL.md; local performance baseline; official Google Cloud pricing.</t>
        </is>
      </c>
      <c r="J28" s="9">
        <f>CHOOSE(MATCH($B$2,$C$4:$E$4,0),C28,D28,E28)</f>
        <v/>
      </c>
    </row>
    <row r="29">
      <c r="A29" t="inlineStr">
        <is>
          <t>Variable costs</t>
        </is>
      </c>
      <c r="B29" t="inlineStr">
        <is>
          <t>ai_processing_cost_per_study</t>
        </is>
      </c>
      <c r="C29" s="9" t="n">
        <v>0.3</v>
      </c>
      <c r="D29" s="9" t="n">
        <v>0.1</v>
      </c>
      <c r="E29" s="9" t="n">
        <v>0.04</v>
      </c>
      <c r="F29" t="inlineStr">
        <is>
          <t>USD/study</t>
        </is>
      </c>
      <c r="G29" t="inlineStr">
        <is>
          <t>ESTIMATED</t>
        </is>
      </c>
      <c r="H29" t="inlineStr">
        <is>
          <t>Per-study technical cloud estimate, separated from commercial support allocation.</t>
        </is>
      </c>
      <c r="I29" t="inlineStr">
        <is>
          <t>CLOUD_COST_MODEL.md; local performance baseline; official Google Cloud pricing.</t>
        </is>
      </c>
      <c r="J29" s="9">
        <f>CHOOSE(MATCH($B$2,$C$4:$E$4,0),C29,D29,E29)</f>
        <v/>
      </c>
    </row>
    <row r="30">
      <c r="A30" t="inlineStr">
        <is>
          <t>Variable costs</t>
        </is>
      </c>
      <c r="B30" t="inlineStr">
        <is>
          <t>variable_support_per_customer</t>
        </is>
      </c>
      <c r="C30" s="9" t="n">
        <v>90</v>
      </c>
      <c r="D30" s="9" t="n">
        <v>60</v>
      </c>
      <c r="E30" s="9" t="n">
        <v>45</v>
      </c>
      <c r="F30" t="inlineStr">
        <is>
          <t>USD/customer/month</t>
        </is>
      </c>
      <c r="G30" t="inlineStr">
        <is>
          <t>input</t>
        </is>
      </c>
      <c r="H30" t="inlineStr">
        <is>
          <t>Variable support burden by active customer.</t>
        </is>
      </c>
      <c r="I30" t="inlineStr">
        <is>
          <t>Pending support process evidence.</t>
        </is>
      </c>
      <c r="J30" s="9">
        <f>CHOOSE(MATCH($B$2,$C$4:$E$4,0),C30,D30,E30)</f>
        <v/>
      </c>
    </row>
    <row r="31">
      <c r="A31" t="inlineStr">
        <is>
          <t>Fixed costs</t>
        </is>
      </c>
      <c r="B31" t="inlineStr">
        <is>
          <t>fixed_infra</t>
        </is>
      </c>
      <c r="C31" s="9" t="n">
        <v>45</v>
      </c>
      <c r="D31" s="9" t="n">
        <v>65</v>
      </c>
      <c r="E31" s="9" t="n">
        <v>110</v>
      </c>
      <c r="F31" t="inlineStr">
        <is>
          <t>USD/month</t>
        </is>
      </c>
      <c r="G31" t="inlineStr">
        <is>
          <t>ESTIMATED</t>
        </is>
      </c>
      <c r="H31" t="inlineStr">
        <is>
          <t>Monthly technical infra estimate: scale-to-zero Cloud Run plus projected Cloud SQL/storage/logging envelope.</t>
        </is>
      </c>
      <c r="I31" t="inlineStr">
        <is>
          <t>CLOUD_COST_MODEL.md; official Google Cloud pricing; current deployment state.</t>
        </is>
      </c>
      <c r="J31" s="9">
        <f>CHOOSE(MATCH($B$2,$C$4:$E$4,0),C31,D31,E31)</f>
        <v/>
      </c>
    </row>
    <row r="32">
      <c r="A32" t="inlineStr">
        <is>
          <t>Fixed costs</t>
        </is>
      </c>
      <c r="B32" t="inlineStr">
        <is>
          <t>software_maintenance</t>
        </is>
      </c>
      <c r="C32" s="9" t="n">
        <v>3500</v>
      </c>
      <c r="D32" s="9" t="n">
        <v>5000</v>
      </c>
      <c r="E32" s="9" t="n">
        <v>7500</v>
      </c>
      <c r="F32" t="inlineStr">
        <is>
          <t>USD/month</t>
        </is>
      </c>
      <c r="G32" t="inlineStr">
        <is>
          <t>input</t>
        </is>
      </c>
      <c r="H32" t="inlineStr">
        <is>
          <t>Engineering maintenance capacity.</t>
        </is>
      </c>
      <c r="I32" t="inlineStr">
        <is>
          <t>Pending staffing plan.</t>
        </is>
      </c>
      <c r="J32" s="9">
        <f>CHOOSE(MATCH($B$2,$C$4:$E$4,0),C32,D32,E32)</f>
        <v/>
      </c>
    </row>
    <row r="33">
      <c r="A33" t="inlineStr">
        <is>
          <t>Fixed costs</t>
        </is>
      </c>
      <c r="B33" t="inlineStr">
        <is>
          <t>base_support</t>
        </is>
      </c>
      <c r="C33" s="9" t="n">
        <v>700</v>
      </c>
      <c r="D33" s="9" t="n">
        <v>1200</v>
      </c>
      <c r="E33" s="9" t="n">
        <v>1800</v>
      </c>
      <c r="F33" t="inlineStr">
        <is>
          <t>USD/month</t>
        </is>
      </c>
      <c r="G33" t="inlineStr">
        <is>
          <t>input</t>
        </is>
      </c>
      <c r="H33" t="inlineStr">
        <is>
          <t>Base clinical/user support.</t>
        </is>
      </c>
      <c r="I33" t="inlineStr">
        <is>
          <t>Pending service design.</t>
        </is>
      </c>
      <c r="J33" s="9">
        <f>CHOOSE(MATCH($B$2,$C$4:$E$4,0),C33,D33,E33)</f>
        <v/>
      </c>
    </row>
    <row r="34">
      <c r="A34" t="inlineStr">
        <is>
          <t>Fixed costs</t>
        </is>
      </c>
      <c r="B34" t="inlineStr">
        <is>
          <t>admin</t>
        </is>
      </c>
      <c r="C34" s="9" t="n">
        <v>300</v>
      </c>
      <c r="D34" s="9" t="n">
        <v>600</v>
      </c>
      <c r="E34" s="9" t="n">
        <v>900</v>
      </c>
      <c r="F34" t="inlineStr">
        <is>
          <t>USD/month</t>
        </is>
      </c>
      <c r="G34" t="inlineStr">
        <is>
          <t>input</t>
        </is>
      </c>
      <c r="H34" t="inlineStr">
        <is>
          <t>Administration and legal/accounting support.</t>
        </is>
      </c>
      <c r="I34" t="inlineStr">
        <is>
          <t>Pending local provider quotes.</t>
        </is>
      </c>
      <c r="J34" s="9">
        <f>CHOOSE(MATCH($B$2,$C$4:$E$4,0),C34,D34,E34)</f>
        <v/>
      </c>
    </row>
    <row r="35">
      <c r="A35" t="inlineStr">
        <is>
          <t>Fixed costs</t>
        </is>
      </c>
      <c r="B35" t="inlineStr">
        <is>
          <t>commercial_marketing</t>
        </is>
      </c>
      <c r="C35" s="9" t="n">
        <v>400</v>
      </c>
      <c r="D35" s="9" t="n">
        <v>1000</v>
      </c>
      <c r="E35" s="9" t="n">
        <v>2500</v>
      </c>
      <c r="F35" t="inlineStr">
        <is>
          <t>USD/month</t>
        </is>
      </c>
      <c r="G35" t="inlineStr">
        <is>
          <t>input</t>
        </is>
      </c>
      <c r="H35" t="inlineStr">
        <is>
          <t>Go-to-market and relationship development.</t>
        </is>
      </c>
      <c r="I35" t="inlineStr">
        <is>
          <t>Pending channel plan.</t>
        </is>
      </c>
      <c r="J35" s="9">
        <f>CHOOSE(MATCH($B$2,$C$4:$E$4,0),C35,D35,E35)</f>
        <v/>
      </c>
    </row>
    <row r="36">
      <c r="A36" t="inlineStr">
        <is>
          <t>Fixed costs</t>
        </is>
      </c>
      <c r="B36" t="inlineStr">
        <is>
          <t>other_fixed</t>
        </is>
      </c>
      <c r="C36" s="9" t="n">
        <v>150</v>
      </c>
      <c r="D36" s="9" t="n">
        <v>300</v>
      </c>
      <c r="E36" s="9" t="n">
        <v>600</v>
      </c>
      <c r="F36" t="inlineStr">
        <is>
          <t>USD/month</t>
        </is>
      </c>
      <c r="G36" t="inlineStr">
        <is>
          <t>input</t>
        </is>
      </c>
      <c r="H36" t="inlineStr">
        <is>
          <t>Miscellaneous fixed overhead.</t>
        </is>
      </c>
      <c r="I36" t="inlineStr">
        <is>
          <t>Pending detailed budget.</t>
        </is>
      </c>
      <c r="J36" s="9">
        <f>CHOOSE(MATCH($B$2,$C$4:$E$4,0),C36,D36,E36)</f>
        <v/>
      </c>
    </row>
    <row r="37">
      <c r="A37" t="inlineStr">
        <is>
          <t>Investment</t>
        </is>
      </c>
      <c r="B37" t="inlineStr">
        <is>
          <t>development_investment</t>
        </is>
      </c>
      <c r="C37" s="9" t="n">
        <v>8000</v>
      </c>
      <c r="D37" s="9" t="n">
        <v>18000</v>
      </c>
      <c r="E37" s="9" t="n">
        <v>30000</v>
      </c>
      <c r="F37" t="inlineStr">
        <is>
          <t>USD upfront</t>
        </is>
      </c>
      <c r="G37" t="inlineStr">
        <is>
          <t>input</t>
        </is>
      </c>
      <c r="H37" t="inlineStr">
        <is>
          <t>Remaining productization effort.</t>
        </is>
      </c>
      <c r="I37" t="inlineStr">
        <is>
          <t>Pending scope and team validation.</t>
        </is>
      </c>
      <c r="J37" s="9">
        <f>CHOOSE(MATCH($B$2,$C$4:$E$4,0),C37,D37,E37)</f>
        <v/>
      </c>
    </row>
    <row r="38">
      <c r="A38" t="inlineStr">
        <is>
          <t>Investment</t>
        </is>
      </c>
      <c r="B38" t="inlineStr">
        <is>
          <t>cloud_setup</t>
        </is>
      </c>
      <c r="C38" s="9" t="n">
        <v>1000</v>
      </c>
      <c r="D38" s="9" t="n">
        <v>2500</v>
      </c>
      <c r="E38" s="9" t="n">
        <v>5000</v>
      </c>
      <c r="F38" t="inlineStr">
        <is>
          <t>USD upfront</t>
        </is>
      </c>
      <c r="G38" t="inlineStr">
        <is>
          <t>input</t>
        </is>
      </c>
      <c r="H38" t="inlineStr">
        <is>
          <t>Initial Cloud setup and security hardening.</t>
        </is>
      </c>
      <c r="I38" t="inlineStr">
        <is>
          <t>Pending infrastructure plan.</t>
        </is>
      </c>
      <c r="J38" s="9">
        <f>CHOOSE(MATCH($B$2,$C$4:$E$4,0),C38,D38,E38)</f>
        <v/>
      </c>
    </row>
    <row r="39">
      <c r="A39" t="inlineStr">
        <is>
          <t>Investment</t>
        </is>
      </c>
      <c r="B39" t="inlineStr">
        <is>
          <t>launch_setup</t>
        </is>
      </c>
      <c r="C39" s="9" t="n">
        <v>500</v>
      </c>
      <c r="D39" s="9" t="n">
        <v>2500</v>
      </c>
      <c r="E39" s="9" t="n">
        <v>7000</v>
      </c>
      <c r="F39" t="inlineStr">
        <is>
          <t>USD upfront</t>
        </is>
      </c>
      <c r="G39" t="inlineStr">
        <is>
          <t>input</t>
        </is>
      </c>
      <c r="H39" t="inlineStr">
        <is>
          <t>Launch material, legal, onboarding setup.</t>
        </is>
      </c>
      <c r="I39" t="inlineStr">
        <is>
          <t>Pending launch plan.</t>
        </is>
      </c>
      <c r="J39" s="9">
        <f>CHOOSE(MATCH($B$2,$C$4:$E$4,0),C39,D39,E39)</f>
        <v/>
      </c>
    </row>
  </sheetData>
  <dataValidations count="1">
    <dataValidation sqref="B2" showDropDown="0" showInputMessage="0" showErrorMessage="0" allowBlank="0" type="list">
      <formula1>"Pesimista,Base,Optimista"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.630000114440918" customWidth="1" min="1" max="1"/>
    <col width="9.880000114440918" customWidth="1" min="2" max="2"/>
    <col width="13" customWidth="1" min="3" max="3"/>
    <col width="9.630000114440918" customWidth="1" min="4" max="4"/>
    <col width="25.25" customWidth="1" min="5" max="5"/>
    <col width="13.25" customWidth="1" min="6" max="6"/>
  </cols>
  <sheetData>
    <row r="1">
      <c r="A1" s="4" t="inlineStr">
        <is>
          <t>Tier</t>
        </is>
      </c>
      <c r="B1" s="4" t="inlineStr">
        <is>
          <t>Monthly fee</t>
        </is>
      </c>
      <c r="C1" s="4" t="inlineStr">
        <is>
          <t>Included studies</t>
        </is>
      </c>
      <c r="D1" s="4" t="inlineStr">
        <is>
          <t>Overage fee</t>
        </is>
      </c>
      <c r="E1" s="4" t="inlineStr">
        <is>
          <t>Target user</t>
        </is>
      </c>
      <c r="F1" s="4" t="inlineStr">
        <is>
          <t>Validation status</t>
        </is>
      </c>
    </row>
    <row r="2">
      <c r="A2" t="inlineStr">
        <is>
          <t>Starter</t>
        </is>
      </c>
      <c r="B2" s="9">
        <f>INDEX('01_ASSUMPTIONS'!$J$5:$J$39,MATCH("starter_fee",'01_ASSUMPTIONS'!$B$5:$B$39,0))</f>
        <v/>
      </c>
      <c r="C2">
        <f>INDEX('01_ASSUMPTIONS'!$J$5:$J$39,MATCH("starter_included_studies",'01_ASSUMPTIONS'!$B$5:$B$39,0))</f>
        <v/>
      </c>
      <c r="D2" s="9">
        <f>INDEX('01_ASSUMPTIONS'!$J$5:$J$39,MATCH("starter_overage_fee",'01_ASSUMPTIONS'!$B$5:$B$39,0))</f>
        <v/>
      </c>
      <c r="E2" t="inlineStr">
        <is>
          <t>Small pilot / low-volume center</t>
        </is>
      </c>
      <c r="F2" t="inlineStr">
        <is>
          <t>Provisional</t>
        </is>
      </c>
    </row>
    <row r="3">
      <c r="A3" t="inlineStr">
        <is>
          <t>Professional</t>
        </is>
      </c>
      <c r="B3" s="9">
        <f>INDEX('01_ASSUMPTIONS'!$J$5:$J$39,MATCH("professional_fee",'01_ASSUMPTIONS'!$B$5:$B$39,0))</f>
        <v/>
      </c>
      <c r="C3">
        <f>INDEX('01_ASSUMPTIONS'!$J$5:$J$39,MATCH("professional_included_studies",'01_ASSUMPTIONS'!$B$5:$B$39,0))</f>
        <v/>
      </c>
      <c r="D3" s="9">
        <f>INDEX('01_ASSUMPTIONS'!$J$5:$J$39,MATCH("professional_overage_fee",'01_ASSUMPTIONS'!$B$5:$B$39,0))</f>
        <v/>
      </c>
      <c r="E3" t="inlineStr">
        <is>
          <t>Clinical center / teaching hospital</t>
        </is>
      </c>
      <c r="F3" t="inlineStr">
        <is>
          <t>Provisional</t>
        </is>
      </c>
    </row>
    <row r="4">
      <c r="A4" t="inlineStr">
        <is>
          <t>Enterprise</t>
        </is>
      </c>
      <c r="B4" s="9">
        <f>INDEX('01_ASSUMPTIONS'!$J$5:$J$39,MATCH("enterprise_fee",'01_ASSUMPTIONS'!$B$5:$B$39,0))</f>
        <v/>
      </c>
      <c r="C4">
        <f>INDEX('01_ASSUMPTIONS'!$J$5:$J$39,MATCH("enterprise_included_studies",'01_ASSUMPTIONS'!$B$5:$B$39,0))</f>
        <v/>
      </c>
      <c r="D4" s="9">
        <f>INDEX('01_ASSUMPTIONS'!$J$5:$J$39,MATCH("enterprise_overage_fee",'01_ASSUMPTIONS'!$B$5:$B$39,0))</f>
        <v/>
      </c>
      <c r="E4" t="inlineStr">
        <is>
          <t>Large institution / network</t>
        </is>
      </c>
      <c r="F4" t="inlineStr">
        <is>
          <t>Provisional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5.75" customWidth="1" min="1" max="1"/>
    <col width="19.25" customWidth="1" min="2" max="2"/>
    <col width="23.25" customWidth="1" min="3" max="3"/>
    <col width="21.75" customWidth="1" min="4" max="4"/>
    <col width="12.5" customWidth="1" min="5" max="5"/>
    <col width="11.75" customWidth="1" min="6" max="6"/>
    <col width="15.88000011444092" customWidth="1" min="7" max="7"/>
    <col width="14.38000011444092" customWidth="1" min="8" max="8"/>
    <col width="10.13000011444092" customWidth="1" min="9" max="9"/>
    <col width="16.6299991607666" customWidth="1" min="10" max="10"/>
    <col width="13.5" customWidth="1" min="11" max="11"/>
    <col width="10.88000011444092" customWidth="1" min="12" max="12"/>
    <col width="8.5" customWidth="1" min="13" max="13"/>
    <col width="9.880000114440918" customWidth="1" min="14" max="14"/>
    <col width="14.13000011444092" customWidth="1" min="15" max="15"/>
    <col width="13.13000011444092" customWidth="1" min="16" max="16"/>
    <col width="15" customWidth="1" min="17" max="17"/>
    <col width="15.38000011444092" customWidth="1" min="18" max="18"/>
    <col width="10.63000011444092" customWidth="1" min="19" max="19"/>
    <col width="10.5" customWidth="1" min="20" max="20"/>
    <col width="5.630000114440918" customWidth="1" min="21" max="21"/>
    <col width="18.1299991607666" customWidth="1" min="22" max="22"/>
    <col width="9.130000114440918" customWidth="1" min="23" max="23"/>
    <col width="12.63000011444092" customWidth="1" min="24" max="24"/>
    <col width="19.75" customWidth="1" min="25" max="25"/>
    <col width="13.88000011444092" customWidth="1" min="26" max="26"/>
    <col width="10.88000011444092" customWidth="1" min="27" max="27"/>
    <col width="12.13000011444092" customWidth="1" min="28" max="28"/>
    <col width="16.6299991607666" customWidth="1" min="29" max="29"/>
    <col width="16.75" customWidth="1" min="30" max="30"/>
    <col width="20.25" customWidth="1" min="31" max="31"/>
    <col width="10" customWidth="1" min="32" max="32"/>
  </cols>
  <sheetData>
    <row r="1">
      <c r="A1" s="4" t="inlineStr">
        <is>
          <t>Month</t>
        </is>
      </c>
      <c r="B1" s="4" t="inlineStr">
        <is>
          <t>Active customers Starter</t>
        </is>
      </c>
      <c r="C1" s="4" t="inlineStr">
        <is>
          <t>Active customers Professional</t>
        </is>
      </c>
      <c r="D1" s="4" t="inlineStr">
        <is>
          <t>Active customers Enterprise</t>
        </is>
      </c>
      <c r="E1" s="4" t="inlineStr">
        <is>
          <t>Total customers</t>
        </is>
      </c>
      <c r="F1" s="4" t="inlineStr">
        <is>
          <t>Studies Starter</t>
        </is>
      </c>
      <c r="G1" s="4" t="inlineStr">
        <is>
          <t>Studies Professional</t>
        </is>
      </c>
      <c r="H1" s="4" t="inlineStr">
        <is>
          <t>Studies Enterprise</t>
        </is>
      </c>
      <c r="I1" s="4" t="inlineStr">
        <is>
          <t>Total studies</t>
        </is>
      </c>
      <c r="J1" s="4" t="inlineStr">
        <is>
          <t>Subscription revenue</t>
        </is>
      </c>
      <c r="K1" s="4" t="inlineStr">
        <is>
          <t>Overage revenue</t>
        </is>
      </c>
      <c r="L1" s="4" t="inlineStr">
        <is>
          <t>Total revenue</t>
        </is>
      </c>
      <c r="M1" s="4" t="inlineStr">
        <is>
          <t>Cloud cost</t>
        </is>
      </c>
      <c r="N1" s="4" t="inlineStr">
        <is>
          <t>Storage cost</t>
        </is>
      </c>
      <c r="O1" s="4" t="inlineStr">
        <is>
          <t>AI processing cost</t>
        </is>
      </c>
      <c r="P1" s="4" t="inlineStr">
        <is>
          <t>Variable support</t>
        </is>
      </c>
      <c r="Q1" s="4" t="inlineStr">
        <is>
          <t>Total variable costs</t>
        </is>
      </c>
      <c r="R1" s="4" t="inlineStr">
        <is>
          <t>Fixed infrastructure</t>
        </is>
      </c>
      <c r="S1" s="4" t="inlineStr">
        <is>
          <t>Maintenance</t>
        </is>
      </c>
      <c r="T1" s="4" t="inlineStr">
        <is>
          <t>Base support</t>
        </is>
      </c>
      <c r="U1" s="4" t="inlineStr">
        <is>
          <t>Admin</t>
        </is>
      </c>
      <c r="V1" s="4" t="inlineStr">
        <is>
          <t>Commercial/marketing</t>
        </is>
      </c>
      <c r="W1" s="4" t="inlineStr">
        <is>
          <t>Other fixed</t>
        </is>
      </c>
      <c r="X1" s="4" t="inlineStr">
        <is>
          <t>Total fixed costs</t>
        </is>
      </c>
      <c r="Y1" s="4" t="inlineStr">
        <is>
          <t>EBITDA / operating result</t>
        </is>
      </c>
      <c r="Z1" s="4" t="inlineStr">
        <is>
          <t>Initial investment</t>
        </is>
      </c>
      <c r="AA1" s="4" t="inlineStr">
        <is>
          <t>Net cash flow</t>
        </is>
      </c>
      <c r="AB1" s="4" t="inlineStr">
        <is>
          <t>Discount factor</t>
        </is>
      </c>
      <c r="AC1" s="4" t="inlineStr">
        <is>
          <t>Discounted cash flow</t>
        </is>
      </c>
      <c r="AD1" s="4" t="inlineStr">
        <is>
          <t>Cumulative cash flow</t>
        </is>
      </c>
      <c r="AE1" s="4" t="inlineStr">
        <is>
          <t>Operating break-even flag</t>
        </is>
      </c>
      <c r="AF1" s="4" t="inlineStr">
        <is>
          <t>Payback flag</t>
        </is>
      </c>
    </row>
    <row r="2">
      <c r="A2">
        <f>1</f>
        <v/>
      </c>
      <c r="B2" s="10">
        <f>INDEX('01_ASSUMPTIONS'!$J$5:$J$39,MATCH("starter_initial_customers",'01_ASSUMPTIONS'!$B$5:$B$39,0))+INDEX('01_ASSUMPTIONS'!$J$5:$J$39,MATCH("starter_monthly_acquisition",'01_ASSUMPTIONS'!$B$5:$B$39,0))</f>
        <v/>
      </c>
      <c r="C2" s="10">
        <f>INDEX('01_ASSUMPTIONS'!$J$5:$J$39,MATCH("professional_initial_customers",'01_ASSUMPTIONS'!$B$5:$B$39,0))+INDEX('01_ASSUMPTIONS'!$J$5:$J$39,MATCH("professional_monthly_acquisition",'01_ASSUMPTIONS'!$B$5:$B$39,0))</f>
        <v/>
      </c>
      <c r="D2" s="10">
        <f>INDEX('01_ASSUMPTIONS'!$J$5:$J$39,MATCH("enterprise_initial_customers",'01_ASSUMPTIONS'!$B$5:$B$39,0))+INDEX('01_ASSUMPTIONS'!$J$5:$J$39,MATCH("enterprise_monthly_acquisition",'01_ASSUMPTIONS'!$B$5:$B$39,0))</f>
        <v/>
      </c>
      <c r="E2" s="10">
        <f>SUM(B2:D2)</f>
        <v/>
      </c>
      <c r="F2" s="10">
        <f>B2*INDEX('01_ASSUMPTIONS'!$J$5:$J$39,MATCH("starter_studies_per_customer",'01_ASSUMPTIONS'!$B$5:$B$39,0))</f>
        <v/>
      </c>
      <c r="G2" s="10">
        <f>C2*INDEX('01_ASSUMPTIONS'!$J$5:$J$39,MATCH("professional_studies_per_customer",'01_ASSUMPTIONS'!$B$5:$B$39,0))</f>
        <v/>
      </c>
      <c r="H2" s="10">
        <f>D2*INDEX('01_ASSUMPTIONS'!$J$5:$J$39,MATCH("enterprise_studies_per_customer",'01_ASSUMPTIONS'!$B$5:$B$39,0))</f>
        <v/>
      </c>
      <c r="I2" s="10">
        <f>SUM(F2:H2)</f>
        <v/>
      </c>
      <c r="J2" s="9">
        <f>B2*INDEX('01_ASSUMPTIONS'!$J$5:$J$39,MATCH("starter_fee",'01_ASSUMPTIONS'!$B$5:$B$39,0))+C2*INDEX('01_ASSUMPTIONS'!$J$5:$J$39,MATCH("professional_fee",'01_ASSUMPTIONS'!$B$5:$B$39,0))+D2*INDEX('01_ASSUMPTIONS'!$J$5:$J$39,MATCH("enterprise_fee",'01_ASSUMPTIONS'!$B$5:$B$39,0))</f>
        <v/>
      </c>
      <c r="K2" s="9">
        <f>MAX(F2-B2*INDEX('01_ASSUMPTIONS'!$J$5:$J$39,MATCH("starter_included_studies",'01_ASSUMPTIONS'!$B$5:$B$39,0)),0)*INDEX('01_ASSUMPTIONS'!$J$5:$J$39,MATCH("starter_overage_fee",'01_ASSUMPTIONS'!$B$5:$B$39,0))+MAX(G2-C2*INDEX('01_ASSUMPTIONS'!$J$5:$J$39,MATCH("professional_included_studies",'01_ASSUMPTIONS'!$B$5:$B$39,0)),0)*INDEX('01_ASSUMPTIONS'!$J$5:$J$39,MATCH("professional_overage_fee",'01_ASSUMPTIONS'!$B$5:$B$39,0))+MAX(H2-D2*INDEX('01_ASSUMPTIONS'!$J$5:$J$39,MATCH("enterprise_included_studies",'01_ASSUMPTIONS'!$B$5:$B$39,0)),0)*INDEX('01_ASSUMPTIONS'!$J$5:$J$39,MATCH("enterprise_overage_fee",'01_ASSUMPTIONS'!$B$5:$B$39,0))</f>
        <v/>
      </c>
      <c r="L2" s="9">
        <f>J2+K2</f>
        <v/>
      </c>
      <c r="M2" s="9">
        <f>I2*INDEX('01_ASSUMPTIONS'!$J$5:$J$39,MATCH("cloud_cost_per_study",'01_ASSUMPTIONS'!$B$5:$B$39,0))</f>
        <v/>
      </c>
      <c r="N2" s="9">
        <f>I2*INDEX('01_ASSUMPTIONS'!$J$5:$J$39,MATCH("storage_cost_per_study",'01_ASSUMPTIONS'!$B$5:$B$39,0))</f>
        <v/>
      </c>
      <c r="O2" s="9">
        <f>I2*INDEX('01_ASSUMPTIONS'!$J$5:$J$39,MATCH("ai_processing_cost_per_study",'01_ASSUMPTIONS'!$B$5:$B$39,0))</f>
        <v/>
      </c>
      <c r="P2" s="9">
        <f>E2*INDEX('01_ASSUMPTIONS'!$J$5:$J$39,MATCH("variable_support_per_customer",'01_ASSUMPTIONS'!$B$5:$B$39,0))</f>
        <v/>
      </c>
      <c r="Q2" s="9">
        <f>SUM(M2:P2)</f>
        <v/>
      </c>
      <c r="R2" s="9">
        <f>INDEX('01_ASSUMPTIONS'!$J$5:$J$39,MATCH("fixed_infra",'01_ASSUMPTIONS'!$B$5:$B$39,0))</f>
        <v/>
      </c>
      <c r="S2" s="9">
        <f>INDEX('01_ASSUMPTIONS'!$J$5:$J$39,MATCH("software_maintenance",'01_ASSUMPTIONS'!$B$5:$B$39,0))</f>
        <v/>
      </c>
      <c r="T2" s="9">
        <f>INDEX('01_ASSUMPTIONS'!$J$5:$J$39,MATCH("base_support",'01_ASSUMPTIONS'!$B$5:$B$39,0))</f>
        <v/>
      </c>
      <c r="U2" s="9">
        <f>INDEX('01_ASSUMPTIONS'!$J$5:$J$39,MATCH("admin",'01_ASSUMPTIONS'!$B$5:$B$39,0))</f>
        <v/>
      </c>
      <c r="V2" s="9">
        <f>INDEX('01_ASSUMPTIONS'!$J$5:$J$39,MATCH("commercial_marketing",'01_ASSUMPTIONS'!$B$5:$B$39,0))</f>
        <v/>
      </c>
      <c r="W2" s="9">
        <f>INDEX('01_ASSUMPTIONS'!$J$5:$J$39,MATCH("other_fixed",'01_ASSUMPTIONS'!$B$5:$B$39,0))</f>
        <v/>
      </c>
      <c r="X2" s="9">
        <f>SUM(R2:W2)</f>
        <v/>
      </c>
      <c r="Y2" s="9">
        <f>L2-Q2-X2</f>
        <v/>
      </c>
      <c r="Z2" s="9">
        <f>INDEX('01_ASSUMPTIONS'!$J$5:$J$39,MATCH("development_investment",'01_ASSUMPTIONS'!$B$5:$B$39,0))+INDEX('01_ASSUMPTIONS'!$J$5:$J$39,MATCH("cloud_setup",'01_ASSUMPTIONS'!$B$5:$B$39,0))+INDEX('01_ASSUMPTIONS'!$J$5:$J$39,MATCH("launch_setup",'01_ASSUMPTIONS'!$B$5:$B$39,0))</f>
        <v/>
      </c>
      <c r="AA2" s="9">
        <f>Y2-Z2</f>
        <v/>
      </c>
      <c r="AB2" s="8">
        <f>1/(1+'01_ASSUMPTIONS'!$E$2)^A2</f>
        <v/>
      </c>
      <c r="AC2" s="9">
        <f>AA2*AB2</f>
        <v/>
      </c>
      <c r="AD2" s="9">
        <f>AA2</f>
        <v/>
      </c>
      <c r="AE2">
        <f>IF(Y2&gt;=0,"Yes","No")</f>
        <v/>
      </c>
      <c r="AF2">
        <f>IF(AD2&gt;=0,"Yes","No")</f>
        <v/>
      </c>
    </row>
    <row r="3">
      <c r="A3">
        <f>2</f>
        <v/>
      </c>
      <c r="B3" s="10">
        <f>B2*(1-INDEX('01_ASSUMPTIONS'!$J$5:$J$39,MATCH("monthly_churn",'01_ASSUMPTIONS'!$B$5:$B$39,0)))+INDEX('01_ASSUMPTIONS'!$J$5:$J$39,MATCH("starter_monthly_acquisition",'01_ASSUMPTIONS'!$B$5:$B$39,0))</f>
        <v/>
      </c>
      <c r="C3" s="10">
        <f>C2*(1-INDEX('01_ASSUMPTIONS'!$J$5:$J$39,MATCH("monthly_churn",'01_ASSUMPTIONS'!$B$5:$B$39,0)))+INDEX('01_ASSUMPTIONS'!$J$5:$J$39,MATCH("professional_monthly_acquisition",'01_ASSUMPTIONS'!$B$5:$B$39,0))</f>
        <v/>
      </c>
      <c r="D3" s="10">
        <f>D2*(1-INDEX('01_ASSUMPTIONS'!$J$5:$J$39,MATCH("monthly_churn",'01_ASSUMPTIONS'!$B$5:$B$39,0)))+INDEX('01_ASSUMPTIONS'!$J$5:$J$39,MATCH("enterprise_monthly_acquisition",'01_ASSUMPTIONS'!$B$5:$B$39,0))</f>
        <v/>
      </c>
      <c r="E3" s="10">
        <f>SUM(B3:D3)</f>
        <v/>
      </c>
      <c r="F3" s="10">
        <f>B3*INDEX('01_ASSUMPTIONS'!$J$5:$J$39,MATCH("starter_studies_per_customer",'01_ASSUMPTIONS'!$B$5:$B$39,0))</f>
        <v/>
      </c>
      <c r="G3" s="10">
        <f>C3*INDEX('01_ASSUMPTIONS'!$J$5:$J$39,MATCH("professional_studies_per_customer",'01_ASSUMPTIONS'!$B$5:$B$39,0))</f>
        <v/>
      </c>
      <c r="H3" s="10">
        <f>D3*INDEX('01_ASSUMPTIONS'!$J$5:$J$39,MATCH("enterprise_studies_per_customer",'01_ASSUMPTIONS'!$B$5:$B$39,0))</f>
        <v/>
      </c>
      <c r="I3" s="10">
        <f>SUM(F3:H3)</f>
        <v/>
      </c>
      <c r="J3" s="9">
        <f>B3*INDEX('01_ASSUMPTIONS'!$J$5:$J$39,MATCH("starter_fee",'01_ASSUMPTIONS'!$B$5:$B$39,0))+C3*INDEX('01_ASSUMPTIONS'!$J$5:$J$39,MATCH("professional_fee",'01_ASSUMPTIONS'!$B$5:$B$39,0))+D3*INDEX('01_ASSUMPTIONS'!$J$5:$J$39,MATCH("enterprise_fee",'01_ASSUMPTIONS'!$B$5:$B$39,0))</f>
        <v/>
      </c>
      <c r="K3" s="9">
        <f>MAX(F3-B3*INDEX('01_ASSUMPTIONS'!$J$5:$J$39,MATCH("starter_included_studies",'01_ASSUMPTIONS'!$B$5:$B$39,0)),0)*INDEX('01_ASSUMPTIONS'!$J$5:$J$39,MATCH("starter_overage_fee",'01_ASSUMPTIONS'!$B$5:$B$39,0))+MAX(G3-C3*INDEX('01_ASSUMPTIONS'!$J$5:$J$39,MATCH("professional_included_studies",'01_ASSUMPTIONS'!$B$5:$B$39,0)),0)*INDEX('01_ASSUMPTIONS'!$J$5:$J$39,MATCH("professional_overage_fee",'01_ASSUMPTIONS'!$B$5:$B$39,0))+MAX(H3-D3*INDEX('01_ASSUMPTIONS'!$J$5:$J$39,MATCH("enterprise_included_studies",'01_ASSUMPTIONS'!$B$5:$B$39,0)),0)*INDEX('01_ASSUMPTIONS'!$J$5:$J$39,MATCH("enterprise_overage_fee",'01_ASSUMPTIONS'!$B$5:$B$39,0))</f>
        <v/>
      </c>
      <c r="L3" s="9">
        <f>J3+K3</f>
        <v/>
      </c>
      <c r="M3" s="9">
        <f>I3*INDEX('01_ASSUMPTIONS'!$J$5:$J$39,MATCH("cloud_cost_per_study",'01_ASSUMPTIONS'!$B$5:$B$39,0))</f>
        <v/>
      </c>
      <c r="N3" s="9">
        <f>I3*INDEX('01_ASSUMPTIONS'!$J$5:$J$39,MATCH("storage_cost_per_study",'01_ASSUMPTIONS'!$B$5:$B$39,0))</f>
        <v/>
      </c>
      <c r="O3" s="9">
        <f>I3*INDEX('01_ASSUMPTIONS'!$J$5:$J$39,MATCH("ai_processing_cost_per_study",'01_ASSUMPTIONS'!$B$5:$B$39,0))</f>
        <v/>
      </c>
      <c r="P3" s="9">
        <f>E3*INDEX('01_ASSUMPTIONS'!$J$5:$J$39,MATCH("variable_support_per_customer",'01_ASSUMPTIONS'!$B$5:$B$39,0))</f>
        <v/>
      </c>
      <c r="Q3" s="9">
        <f>SUM(M3:P3)</f>
        <v/>
      </c>
      <c r="R3" s="9">
        <f>INDEX('01_ASSUMPTIONS'!$J$5:$J$39,MATCH("fixed_infra",'01_ASSUMPTIONS'!$B$5:$B$39,0))</f>
        <v/>
      </c>
      <c r="S3" s="9">
        <f>INDEX('01_ASSUMPTIONS'!$J$5:$J$39,MATCH("software_maintenance",'01_ASSUMPTIONS'!$B$5:$B$39,0))</f>
        <v/>
      </c>
      <c r="T3" s="9">
        <f>INDEX('01_ASSUMPTIONS'!$J$5:$J$39,MATCH("base_support",'01_ASSUMPTIONS'!$B$5:$B$39,0))</f>
        <v/>
      </c>
      <c r="U3" s="9">
        <f>INDEX('01_ASSUMPTIONS'!$J$5:$J$39,MATCH("admin",'01_ASSUMPTIONS'!$B$5:$B$39,0))</f>
        <v/>
      </c>
      <c r="V3" s="9">
        <f>INDEX('01_ASSUMPTIONS'!$J$5:$J$39,MATCH("commercial_marketing",'01_ASSUMPTIONS'!$B$5:$B$39,0))</f>
        <v/>
      </c>
      <c r="W3" s="9">
        <f>INDEX('01_ASSUMPTIONS'!$J$5:$J$39,MATCH("other_fixed",'01_ASSUMPTIONS'!$B$5:$B$39,0))</f>
        <v/>
      </c>
      <c r="X3" s="9">
        <f>SUM(R3:W3)</f>
        <v/>
      </c>
      <c r="Y3" s="9">
        <f>L3-Q3-X3</f>
        <v/>
      </c>
      <c r="Z3" s="9">
        <f>0</f>
        <v/>
      </c>
      <c r="AA3" s="9">
        <f>Y3-Z3</f>
        <v/>
      </c>
      <c r="AB3" s="8">
        <f>1/(1+'01_ASSUMPTIONS'!$E$2)^A3</f>
        <v/>
      </c>
      <c r="AC3" s="9">
        <f>AA3*AB3</f>
        <v/>
      </c>
      <c r="AD3" s="9">
        <f>AD2+AA3</f>
        <v/>
      </c>
      <c r="AE3">
        <f>IF(Y3&gt;=0,"Yes","No")</f>
        <v/>
      </c>
      <c r="AF3">
        <f>IF(AD3&gt;=0,"Yes","No")</f>
        <v/>
      </c>
    </row>
    <row r="4">
      <c r="A4">
        <f>3</f>
        <v/>
      </c>
      <c r="B4" s="10">
        <f>B3*(1-INDEX('01_ASSUMPTIONS'!$J$5:$J$39,MATCH("monthly_churn",'01_ASSUMPTIONS'!$B$5:$B$39,0)))+INDEX('01_ASSUMPTIONS'!$J$5:$J$39,MATCH("starter_monthly_acquisition",'01_ASSUMPTIONS'!$B$5:$B$39,0))</f>
        <v/>
      </c>
      <c r="C4" s="10">
        <f>C3*(1-INDEX('01_ASSUMPTIONS'!$J$5:$J$39,MATCH("monthly_churn",'01_ASSUMPTIONS'!$B$5:$B$39,0)))+INDEX('01_ASSUMPTIONS'!$J$5:$J$39,MATCH("professional_monthly_acquisition",'01_ASSUMPTIONS'!$B$5:$B$39,0))</f>
        <v/>
      </c>
      <c r="D4" s="10">
        <f>D3*(1-INDEX('01_ASSUMPTIONS'!$J$5:$J$39,MATCH("monthly_churn",'01_ASSUMPTIONS'!$B$5:$B$39,0)))+INDEX('01_ASSUMPTIONS'!$J$5:$J$39,MATCH("enterprise_monthly_acquisition",'01_ASSUMPTIONS'!$B$5:$B$39,0))</f>
        <v/>
      </c>
      <c r="E4" s="10">
        <f>SUM(B4:D4)</f>
        <v/>
      </c>
      <c r="F4" s="10">
        <f>B4*INDEX('01_ASSUMPTIONS'!$J$5:$J$39,MATCH("starter_studies_per_customer",'01_ASSUMPTIONS'!$B$5:$B$39,0))</f>
        <v/>
      </c>
      <c r="G4" s="10">
        <f>C4*INDEX('01_ASSUMPTIONS'!$J$5:$J$39,MATCH("professional_studies_per_customer",'01_ASSUMPTIONS'!$B$5:$B$39,0))</f>
        <v/>
      </c>
      <c r="H4" s="10">
        <f>D4*INDEX('01_ASSUMPTIONS'!$J$5:$J$39,MATCH("enterprise_studies_per_customer",'01_ASSUMPTIONS'!$B$5:$B$39,0))</f>
        <v/>
      </c>
      <c r="I4" s="10">
        <f>SUM(F4:H4)</f>
        <v/>
      </c>
      <c r="J4" s="9">
        <f>B4*INDEX('01_ASSUMPTIONS'!$J$5:$J$39,MATCH("starter_fee",'01_ASSUMPTIONS'!$B$5:$B$39,0))+C4*INDEX('01_ASSUMPTIONS'!$J$5:$J$39,MATCH("professional_fee",'01_ASSUMPTIONS'!$B$5:$B$39,0))+D4*INDEX('01_ASSUMPTIONS'!$J$5:$J$39,MATCH("enterprise_fee",'01_ASSUMPTIONS'!$B$5:$B$39,0))</f>
        <v/>
      </c>
      <c r="K4" s="9">
        <f>MAX(F4-B4*INDEX('01_ASSUMPTIONS'!$J$5:$J$39,MATCH("starter_included_studies",'01_ASSUMPTIONS'!$B$5:$B$39,0)),0)*INDEX('01_ASSUMPTIONS'!$J$5:$J$39,MATCH("starter_overage_fee",'01_ASSUMPTIONS'!$B$5:$B$39,0))+MAX(G4-C4*INDEX('01_ASSUMPTIONS'!$J$5:$J$39,MATCH("professional_included_studies",'01_ASSUMPTIONS'!$B$5:$B$39,0)),0)*INDEX('01_ASSUMPTIONS'!$J$5:$J$39,MATCH("professional_overage_fee",'01_ASSUMPTIONS'!$B$5:$B$39,0))+MAX(H4-D4*INDEX('01_ASSUMPTIONS'!$J$5:$J$39,MATCH("enterprise_included_studies",'01_ASSUMPTIONS'!$B$5:$B$39,0)),0)*INDEX('01_ASSUMPTIONS'!$J$5:$J$39,MATCH("enterprise_overage_fee",'01_ASSUMPTIONS'!$B$5:$B$39,0))</f>
        <v/>
      </c>
      <c r="L4" s="9">
        <f>J4+K4</f>
        <v/>
      </c>
      <c r="M4" s="9">
        <f>I4*INDEX('01_ASSUMPTIONS'!$J$5:$J$39,MATCH("cloud_cost_per_study",'01_ASSUMPTIONS'!$B$5:$B$39,0))</f>
        <v/>
      </c>
      <c r="N4" s="9">
        <f>I4*INDEX('01_ASSUMPTIONS'!$J$5:$J$39,MATCH("storage_cost_per_study",'01_ASSUMPTIONS'!$B$5:$B$39,0))</f>
        <v/>
      </c>
      <c r="O4" s="9">
        <f>I4*INDEX('01_ASSUMPTIONS'!$J$5:$J$39,MATCH("ai_processing_cost_per_study",'01_ASSUMPTIONS'!$B$5:$B$39,0))</f>
        <v/>
      </c>
      <c r="P4" s="9">
        <f>E4*INDEX('01_ASSUMPTIONS'!$J$5:$J$39,MATCH("variable_support_per_customer",'01_ASSUMPTIONS'!$B$5:$B$39,0))</f>
        <v/>
      </c>
      <c r="Q4" s="9">
        <f>SUM(M4:P4)</f>
        <v/>
      </c>
      <c r="R4" s="9">
        <f>INDEX('01_ASSUMPTIONS'!$J$5:$J$39,MATCH("fixed_infra",'01_ASSUMPTIONS'!$B$5:$B$39,0))</f>
        <v/>
      </c>
      <c r="S4" s="9">
        <f>INDEX('01_ASSUMPTIONS'!$J$5:$J$39,MATCH("software_maintenance",'01_ASSUMPTIONS'!$B$5:$B$39,0))</f>
        <v/>
      </c>
      <c r="T4" s="9">
        <f>INDEX('01_ASSUMPTIONS'!$J$5:$J$39,MATCH("base_support",'01_ASSUMPTIONS'!$B$5:$B$39,0))</f>
        <v/>
      </c>
      <c r="U4" s="9">
        <f>INDEX('01_ASSUMPTIONS'!$J$5:$J$39,MATCH("admin",'01_ASSUMPTIONS'!$B$5:$B$39,0))</f>
        <v/>
      </c>
      <c r="V4" s="9">
        <f>INDEX('01_ASSUMPTIONS'!$J$5:$J$39,MATCH("commercial_marketing",'01_ASSUMPTIONS'!$B$5:$B$39,0))</f>
        <v/>
      </c>
      <c r="W4" s="9">
        <f>INDEX('01_ASSUMPTIONS'!$J$5:$J$39,MATCH("other_fixed",'01_ASSUMPTIONS'!$B$5:$B$39,0))</f>
        <v/>
      </c>
      <c r="X4" s="9">
        <f>SUM(R4:W4)</f>
        <v/>
      </c>
      <c r="Y4" s="9">
        <f>L4-Q4-X4</f>
        <v/>
      </c>
      <c r="Z4" s="9">
        <f>0</f>
        <v/>
      </c>
      <c r="AA4" s="9">
        <f>Y4-Z4</f>
        <v/>
      </c>
      <c r="AB4" s="8">
        <f>1/(1+'01_ASSUMPTIONS'!$E$2)^A4</f>
        <v/>
      </c>
      <c r="AC4" s="9">
        <f>AA4*AB4</f>
        <v/>
      </c>
      <c r="AD4" s="9">
        <f>AD3+AA4</f>
        <v/>
      </c>
      <c r="AE4">
        <f>IF(Y4&gt;=0,"Yes","No")</f>
        <v/>
      </c>
      <c r="AF4">
        <f>IF(AD4&gt;=0,"Yes","No")</f>
        <v/>
      </c>
    </row>
    <row r="5">
      <c r="A5">
        <f>4</f>
        <v/>
      </c>
      <c r="B5" s="10">
        <f>B4*(1-INDEX('01_ASSUMPTIONS'!$J$5:$J$39,MATCH("monthly_churn",'01_ASSUMPTIONS'!$B$5:$B$39,0)))+INDEX('01_ASSUMPTIONS'!$J$5:$J$39,MATCH("starter_monthly_acquisition",'01_ASSUMPTIONS'!$B$5:$B$39,0))</f>
        <v/>
      </c>
      <c r="C5" s="10">
        <f>C4*(1-INDEX('01_ASSUMPTIONS'!$J$5:$J$39,MATCH("monthly_churn",'01_ASSUMPTIONS'!$B$5:$B$39,0)))+INDEX('01_ASSUMPTIONS'!$J$5:$J$39,MATCH("professional_monthly_acquisition",'01_ASSUMPTIONS'!$B$5:$B$39,0))</f>
        <v/>
      </c>
      <c r="D5" s="10">
        <f>D4*(1-INDEX('01_ASSUMPTIONS'!$J$5:$J$39,MATCH("monthly_churn",'01_ASSUMPTIONS'!$B$5:$B$39,0)))+INDEX('01_ASSUMPTIONS'!$J$5:$J$39,MATCH("enterprise_monthly_acquisition",'01_ASSUMPTIONS'!$B$5:$B$39,0))</f>
        <v/>
      </c>
      <c r="E5" s="10">
        <f>SUM(B5:D5)</f>
        <v/>
      </c>
      <c r="F5" s="10">
        <f>B5*INDEX('01_ASSUMPTIONS'!$J$5:$J$39,MATCH("starter_studies_per_customer",'01_ASSUMPTIONS'!$B$5:$B$39,0))</f>
        <v/>
      </c>
      <c r="G5" s="10">
        <f>C5*INDEX('01_ASSUMPTIONS'!$J$5:$J$39,MATCH("professional_studies_per_customer",'01_ASSUMPTIONS'!$B$5:$B$39,0))</f>
        <v/>
      </c>
      <c r="H5" s="10">
        <f>D5*INDEX('01_ASSUMPTIONS'!$J$5:$J$39,MATCH("enterprise_studies_per_customer",'01_ASSUMPTIONS'!$B$5:$B$39,0))</f>
        <v/>
      </c>
      <c r="I5" s="10">
        <f>SUM(F5:H5)</f>
        <v/>
      </c>
      <c r="J5" s="9">
        <f>B5*INDEX('01_ASSUMPTIONS'!$J$5:$J$39,MATCH("starter_fee",'01_ASSUMPTIONS'!$B$5:$B$39,0))+C5*INDEX('01_ASSUMPTIONS'!$J$5:$J$39,MATCH("professional_fee",'01_ASSUMPTIONS'!$B$5:$B$39,0))+D5*INDEX('01_ASSUMPTIONS'!$J$5:$J$39,MATCH("enterprise_fee",'01_ASSUMPTIONS'!$B$5:$B$39,0))</f>
        <v/>
      </c>
      <c r="K5" s="9">
        <f>MAX(F5-B5*INDEX('01_ASSUMPTIONS'!$J$5:$J$39,MATCH("starter_included_studies",'01_ASSUMPTIONS'!$B$5:$B$39,0)),0)*INDEX('01_ASSUMPTIONS'!$J$5:$J$39,MATCH("starter_overage_fee",'01_ASSUMPTIONS'!$B$5:$B$39,0))+MAX(G5-C5*INDEX('01_ASSUMPTIONS'!$J$5:$J$39,MATCH("professional_included_studies",'01_ASSUMPTIONS'!$B$5:$B$39,0)),0)*INDEX('01_ASSUMPTIONS'!$J$5:$J$39,MATCH("professional_overage_fee",'01_ASSUMPTIONS'!$B$5:$B$39,0))+MAX(H5-D5*INDEX('01_ASSUMPTIONS'!$J$5:$J$39,MATCH("enterprise_included_studies",'01_ASSUMPTIONS'!$B$5:$B$39,0)),0)*INDEX('01_ASSUMPTIONS'!$J$5:$J$39,MATCH("enterprise_overage_fee",'01_ASSUMPTIONS'!$B$5:$B$39,0))</f>
        <v/>
      </c>
      <c r="L5" s="9">
        <f>J5+K5</f>
        <v/>
      </c>
      <c r="M5" s="9">
        <f>I5*INDEX('01_ASSUMPTIONS'!$J$5:$J$39,MATCH("cloud_cost_per_study",'01_ASSUMPTIONS'!$B$5:$B$39,0))</f>
        <v/>
      </c>
      <c r="N5" s="9">
        <f>I5*INDEX('01_ASSUMPTIONS'!$J$5:$J$39,MATCH("storage_cost_per_study",'01_ASSUMPTIONS'!$B$5:$B$39,0))</f>
        <v/>
      </c>
      <c r="O5" s="9">
        <f>I5*INDEX('01_ASSUMPTIONS'!$J$5:$J$39,MATCH("ai_processing_cost_per_study",'01_ASSUMPTIONS'!$B$5:$B$39,0))</f>
        <v/>
      </c>
      <c r="P5" s="9">
        <f>E5*INDEX('01_ASSUMPTIONS'!$J$5:$J$39,MATCH("variable_support_per_customer",'01_ASSUMPTIONS'!$B$5:$B$39,0))</f>
        <v/>
      </c>
      <c r="Q5" s="9">
        <f>SUM(M5:P5)</f>
        <v/>
      </c>
      <c r="R5" s="9">
        <f>INDEX('01_ASSUMPTIONS'!$J$5:$J$39,MATCH("fixed_infra",'01_ASSUMPTIONS'!$B$5:$B$39,0))</f>
        <v/>
      </c>
      <c r="S5" s="9">
        <f>INDEX('01_ASSUMPTIONS'!$J$5:$J$39,MATCH("software_maintenance",'01_ASSUMPTIONS'!$B$5:$B$39,0))</f>
        <v/>
      </c>
      <c r="T5" s="9">
        <f>INDEX('01_ASSUMPTIONS'!$J$5:$J$39,MATCH("base_support",'01_ASSUMPTIONS'!$B$5:$B$39,0))</f>
        <v/>
      </c>
      <c r="U5" s="9">
        <f>INDEX('01_ASSUMPTIONS'!$J$5:$J$39,MATCH("admin",'01_ASSUMPTIONS'!$B$5:$B$39,0))</f>
        <v/>
      </c>
      <c r="V5" s="9">
        <f>INDEX('01_ASSUMPTIONS'!$J$5:$J$39,MATCH("commercial_marketing",'01_ASSUMPTIONS'!$B$5:$B$39,0))</f>
        <v/>
      </c>
      <c r="W5" s="9">
        <f>INDEX('01_ASSUMPTIONS'!$J$5:$J$39,MATCH("other_fixed",'01_ASSUMPTIONS'!$B$5:$B$39,0))</f>
        <v/>
      </c>
      <c r="X5" s="9">
        <f>SUM(R5:W5)</f>
        <v/>
      </c>
      <c r="Y5" s="9">
        <f>L5-Q5-X5</f>
        <v/>
      </c>
      <c r="Z5" s="9">
        <f>0</f>
        <v/>
      </c>
      <c r="AA5" s="9">
        <f>Y5-Z5</f>
        <v/>
      </c>
      <c r="AB5" s="8">
        <f>1/(1+'01_ASSUMPTIONS'!$E$2)^A5</f>
        <v/>
      </c>
      <c r="AC5" s="9">
        <f>AA5*AB5</f>
        <v/>
      </c>
      <c r="AD5" s="9">
        <f>AD4+AA5</f>
        <v/>
      </c>
      <c r="AE5">
        <f>IF(Y5&gt;=0,"Yes","No")</f>
        <v/>
      </c>
      <c r="AF5">
        <f>IF(AD5&gt;=0,"Yes","No")</f>
        <v/>
      </c>
    </row>
    <row r="6">
      <c r="A6">
        <f>5</f>
        <v/>
      </c>
      <c r="B6" s="10">
        <f>B5*(1-INDEX('01_ASSUMPTIONS'!$J$5:$J$39,MATCH("monthly_churn",'01_ASSUMPTIONS'!$B$5:$B$39,0)))+INDEX('01_ASSUMPTIONS'!$J$5:$J$39,MATCH("starter_monthly_acquisition",'01_ASSUMPTIONS'!$B$5:$B$39,0))</f>
        <v/>
      </c>
      <c r="C6" s="10">
        <f>C5*(1-INDEX('01_ASSUMPTIONS'!$J$5:$J$39,MATCH("monthly_churn",'01_ASSUMPTIONS'!$B$5:$B$39,0)))+INDEX('01_ASSUMPTIONS'!$J$5:$J$39,MATCH("professional_monthly_acquisition",'01_ASSUMPTIONS'!$B$5:$B$39,0))</f>
        <v/>
      </c>
      <c r="D6" s="10">
        <f>D5*(1-INDEX('01_ASSUMPTIONS'!$J$5:$J$39,MATCH("monthly_churn",'01_ASSUMPTIONS'!$B$5:$B$39,0)))+INDEX('01_ASSUMPTIONS'!$J$5:$J$39,MATCH("enterprise_monthly_acquisition",'01_ASSUMPTIONS'!$B$5:$B$39,0))</f>
        <v/>
      </c>
      <c r="E6" s="10">
        <f>SUM(B6:D6)</f>
        <v/>
      </c>
      <c r="F6" s="10">
        <f>B6*INDEX('01_ASSUMPTIONS'!$J$5:$J$39,MATCH("starter_studies_per_customer",'01_ASSUMPTIONS'!$B$5:$B$39,0))</f>
        <v/>
      </c>
      <c r="G6" s="10">
        <f>C6*INDEX('01_ASSUMPTIONS'!$J$5:$J$39,MATCH("professional_studies_per_customer",'01_ASSUMPTIONS'!$B$5:$B$39,0))</f>
        <v/>
      </c>
      <c r="H6" s="10">
        <f>D6*INDEX('01_ASSUMPTIONS'!$J$5:$J$39,MATCH("enterprise_studies_per_customer",'01_ASSUMPTIONS'!$B$5:$B$39,0))</f>
        <v/>
      </c>
      <c r="I6" s="10">
        <f>SUM(F6:H6)</f>
        <v/>
      </c>
      <c r="J6" s="9">
        <f>B6*INDEX('01_ASSUMPTIONS'!$J$5:$J$39,MATCH("starter_fee",'01_ASSUMPTIONS'!$B$5:$B$39,0))+C6*INDEX('01_ASSUMPTIONS'!$J$5:$J$39,MATCH("professional_fee",'01_ASSUMPTIONS'!$B$5:$B$39,0))+D6*INDEX('01_ASSUMPTIONS'!$J$5:$J$39,MATCH("enterprise_fee",'01_ASSUMPTIONS'!$B$5:$B$39,0))</f>
        <v/>
      </c>
      <c r="K6" s="9">
        <f>MAX(F6-B6*INDEX('01_ASSUMPTIONS'!$J$5:$J$39,MATCH("starter_included_studies",'01_ASSUMPTIONS'!$B$5:$B$39,0)),0)*INDEX('01_ASSUMPTIONS'!$J$5:$J$39,MATCH("starter_overage_fee",'01_ASSUMPTIONS'!$B$5:$B$39,0))+MAX(G6-C6*INDEX('01_ASSUMPTIONS'!$J$5:$J$39,MATCH("professional_included_studies",'01_ASSUMPTIONS'!$B$5:$B$39,0)),0)*INDEX('01_ASSUMPTIONS'!$J$5:$J$39,MATCH("professional_overage_fee",'01_ASSUMPTIONS'!$B$5:$B$39,0))+MAX(H6-D6*INDEX('01_ASSUMPTIONS'!$J$5:$J$39,MATCH("enterprise_included_studies",'01_ASSUMPTIONS'!$B$5:$B$39,0)),0)*INDEX('01_ASSUMPTIONS'!$J$5:$J$39,MATCH("enterprise_overage_fee",'01_ASSUMPTIONS'!$B$5:$B$39,0))</f>
        <v/>
      </c>
      <c r="L6" s="9">
        <f>J6+K6</f>
        <v/>
      </c>
      <c r="M6" s="9">
        <f>I6*INDEX('01_ASSUMPTIONS'!$J$5:$J$39,MATCH("cloud_cost_per_study",'01_ASSUMPTIONS'!$B$5:$B$39,0))</f>
        <v/>
      </c>
      <c r="N6" s="9">
        <f>I6*INDEX('01_ASSUMPTIONS'!$J$5:$J$39,MATCH("storage_cost_per_study",'01_ASSUMPTIONS'!$B$5:$B$39,0))</f>
        <v/>
      </c>
      <c r="O6" s="9">
        <f>I6*INDEX('01_ASSUMPTIONS'!$J$5:$J$39,MATCH("ai_processing_cost_per_study",'01_ASSUMPTIONS'!$B$5:$B$39,0))</f>
        <v/>
      </c>
      <c r="P6" s="9">
        <f>E6*INDEX('01_ASSUMPTIONS'!$J$5:$J$39,MATCH("variable_support_per_customer",'01_ASSUMPTIONS'!$B$5:$B$39,0))</f>
        <v/>
      </c>
      <c r="Q6" s="9">
        <f>SUM(M6:P6)</f>
        <v/>
      </c>
      <c r="R6" s="9">
        <f>INDEX('01_ASSUMPTIONS'!$J$5:$J$39,MATCH("fixed_infra",'01_ASSUMPTIONS'!$B$5:$B$39,0))</f>
        <v/>
      </c>
      <c r="S6" s="9">
        <f>INDEX('01_ASSUMPTIONS'!$J$5:$J$39,MATCH("software_maintenance",'01_ASSUMPTIONS'!$B$5:$B$39,0))</f>
        <v/>
      </c>
      <c r="T6" s="9">
        <f>INDEX('01_ASSUMPTIONS'!$J$5:$J$39,MATCH("base_support",'01_ASSUMPTIONS'!$B$5:$B$39,0))</f>
        <v/>
      </c>
      <c r="U6" s="9">
        <f>INDEX('01_ASSUMPTIONS'!$J$5:$J$39,MATCH("admin",'01_ASSUMPTIONS'!$B$5:$B$39,0))</f>
        <v/>
      </c>
      <c r="V6" s="9">
        <f>INDEX('01_ASSUMPTIONS'!$J$5:$J$39,MATCH("commercial_marketing",'01_ASSUMPTIONS'!$B$5:$B$39,0))</f>
        <v/>
      </c>
      <c r="W6" s="9">
        <f>INDEX('01_ASSUMPTIONS'!$J$5:$J$39,MATCH("other_fixed",'01_ASSUMPTIONS'!$B$5:$B$39,0))</f>
        <v/>
      </c>
      <c r="X6" s="9">
        <f>SUM(R6:W6)</f>
        <v/>
      </c>
      <c r="Y6" s="9">
        <f>L6-Q6-X6</f>
        <v/>
      </c>
      <c r="Z6" s="9">
        <f>0</f>
        <v/>
      </c>
      <c r="AA6" s="9">
        <f>Y6-Z6</f>
        <v/>
      </c>
      <c r="AB6" s="8">
        <f>1/(1+'01_ASSUMPTIONS'!$E$2)^A6</f>
        <v/>
      </c>
      <c r="AC6" s="9">
        <f>AA6*AB6</f>
        <v/>
      </c>
      <c r="AD6" s="9">
        <f>AD5+AA6</f>
        <v/>
      </c>
      <c r="AE6">
        <f>IF(Y6&gt;=0,"Yes","No")</f>
        <v/>
      </c>
      <c r="AF6">
        <f>IF(AD6&gt;=0,"Yes","No")</f>
        <v/>
      </c>
    </row>
    <row r="7">
      <c r="A7">
        <f>6</f>
        <v/>
      </c>
      <c r="B7" s="10">
        <f>B6*(1-INDEX('01_ASSUMPTIONS'!$J$5:$J$39,MATCH("monthly_churn",'01_ASSUMPTIONS'!$B$5:$B$39,0)))+INDEX('01_ASSUMPTIONS'!$J$5:$J$39,MATCH("starter_monthly_acquisition",'01_ASSUMPTIONS'!$B$5:$B$39,0))</f>
        <v/>
      </c>
      <c r="C7" s="10">
        <f>C6*(1-INDEX('01_ASSUMPTIONS'!$J$5:$J$39,MATCH("monthly_churn",'01_ASSUMPTIONS'!$B$5:$B$39,0)))+INDEX('01_ASSUMPTIONS'!$J$5:$J$39,MATCH("professional_monthly_acquisition",'01_ASSUMPTIONS'!$B$5:$B$39,0))</f>
        <v/>
      </c>
      <c r="D7" s="10">
        <f>D6*(1-INDEX('01_ASSUMPTIONS'!$J$5:$J$39,MATCH("monthly_churn",'01_ASSUMPTIONS'!$B$5:$B$39,0)))+INDEX('01_ASSUMPTIONS'!$J$5:$J$39,MATCH("enterprise_monthly_acquisition",'01_ASSUMPTIONS'!$B$5:$B$39,0))</f>
        <v/>
      </c>
      <c r="E7" s="10">
        <f>SUM(B7:D7)</f>
        <v/>
      </c>
      <c r="F7" s="10">
        <f>B7*INDEX('01_ASSUMPTIONS'!$J$5:$J$39,MATCH("starter_studies_per_customer",'01_ASSUMPTIONS'!$B$5:$B$39,0))</f>
        <v/>
      </c>
      <c r="G7" s="10">
        <f>C7*INDEX('01_ASSUMPTIONS'!$J$5:$J$39,MATCH("professional_studies_per_customer",'01_ASSUMPTIONS'!$B$5:$B$39,0))</f>
        <v/>
      </c>
      <c r="H7" s="10">
        <f>D7*INDEX('01_ASSUMPTIONS'!$J$5:$J$39,MATCH("enterprise_studies_per_customer",'01_ASSUMPTIONS'!$B$5:$B$39,0))</f>
        <v/>
      </c>
      <c r="I7" s="10">
        <f>SUM(F7:H7)</f>
        <v/>
      </c>
      <c r="J7" s="9">
        <f>B7*INDEX('01_ASSUMPTIONS'!$J$5:$J$39,MATCH("starter_fee",'01_ASSUMPTIONS'!$B$5:$B$39,0))+C7*INDEX('01_ASSUMPTIONS'!$J$5:$J$39,MATCH("professional_fee",'01_ASSUMPTIONS'!$B$5:$B$39,0))+D7*INDEX('01_ASSUMPTIONS'!$J$5:$J$39,MATCH("enterprise_fee",'01_ASSUMPTIONS'!$B$5:$B$39,0))</f>
        <v/>
      </c>
      <c r="K7" s="9">
        <f>MAX(F7-B7*INDEX('01_ASSUMPTIONS'!$J$5:$J$39,MATCH("starter_included_studies",'01_ASSUMPTIONS'!$B$5:$B$39,0)),0)*INDEX('01_ASSUMPTIONS'!$J$5:$J$39,MATCH("starter_overage_fee",'01_ASSUMPTIONS'!$B$5:$B$39,0))+MAX(G7-C7*INDEX('01_ASSUMPTIONS'!$J$5:$J$39,MATCH("professional_included_studies",'01_ASSUMPTIONS'!$B$5:$B$39,0)),0)*INDEX('01_ASSUMPTIONS'!$J$5:$J$39,MATCH("professional_overage_fee",'01_ASSUMPTIONS'!$B$5:$B$39,0))+MAX(H7-D7*INDEX('01_ASSUMPTIONS'!$J$5:$J$39,MATCH("enterprise_included_studies",'01_ASSUMPTIONS'!$B$5:$B$39,0)),0)*INDEX('01_ASSUMPTIONS'!$J$5:$J$39,MATCH("enterprise_overage_fee",'01_ASSUMPTIONS'!$B$5:$B$39,0))</f>
        <v/>
      </c>
      <c r="L7" s="9">
        <f>J7+K7</f>
        <v/>
      </c>
      <c r="M7" s="9">
        <f>I7*INDEX('01_ASSUMPTIONS'!$J$5:$J$39,MATCH("cloud_cost_per_study",'01_ASSUMPTIONS'!$B$5:$B$39,0))</f>
        <v/>
      </c>
      <c r="N7" s="9">
        <f>I7*INDEX('01_ASSUMPTIONS'!$J$5:$J$39,MATCH("storage_cost_per_study",'01_ASSUMPTIONS'!$B$5:$B$39,0))</f>
        <v/>
      </c>
      <c r="O7" s="9">
        <f>I7*INDEX('01_ASSUMPTIONS'!$J$5:$J$39,MATCH("ai_processing_cost_per_study",'01_ASSUMPTIONS'!$B$5:$B$39,0))</f>
        <v/>
      </c>
      <c r="P7" s="9">
        <f>E7*INDEX('01_ASSUMPTIONS'!$J$5:$J$39,MATCH("variable_support_per_customer",'01_ASSUMPTIONS'!$B$5:$B$39,0))</f>
        <v/>
      </c>
      <c r="Q7" s="9">
        <f>SUM(M7:P7)</f>
        <v/>
      </c>
      <c r="R7" s="9">
        <f>INDEX('01_ASSUMPTIONS'!$J$5:$J$39,MATCH("fixed_infra",'01_ASSUMPTIONS'!$B$5:$B$39,0))</f>
        <v/>
      </c>
      <c r="S7" s="9">
        <f>INDEX('01_ASSUMPTIONS'!$J$5:$J$39,MATCH("software_maintenance",'01_ASSUMPTIONS'!$B$5:$B$39,0))</f>
        <v/>
      </c>
      <c r="T7" s="9">
        <f>INDEX('01_ASSUMPTIONS'!$J$5:$J$39,MATCH("base_support",'01_ASSUMPTIONS'!$B$5:$B$39,0))</f>
        <v/>
      </c>
      <c r="U7" s="9">
        <f>INDEX('01_ASSUMPTIONS'!$J$5:$J$39,MATCH("admin",'01_ASSUMPTIONS'!$B$5:$B$39,0))</f>
        <v/>
      </c>
      <c r="V7" s="9">
        <f>INDEX('01_ASSUMPTIONS'!$J$5:$J$39,MATCH("commercial_marketing",'01_ASSUMPTIONS'!$B$5:$B$39,0))</f>
        <v/>
      </c>
      <c r="W7" s="9">
        <f>INDEX('01_ASSUMPTIONS'!$J$5:$J$39,MATCH("other_fixed",'01_ASSUMPTIONS'!$B$5:$B$39,0))</f>
        <v/>
      </c>
      <c r="X7" s="9">
        <f>SUM(R7:W7)</f>
        <v/>
      </c>
      <c r="Y7" s="9">
        <f>L7-Q7-X7</f>
        <v/>
      </c>
      <c r="Z7" s="9">
        <f>0</f>
        <v/>
      </c>
      <c r="AA7" s="9">
        <f>Y7-Z7</f>
        <v/>
      </c>
      <c r="AB7" s="8">
        <f>1/(1+'01_ASSUMPTIONS'!$E$2)^A7</f>
        <v/>
      </c>
      <c r="AC7" s="9">
        <f>AA7*AB7</f>
        <v/>
      </c>
      <c r="AD7" s="9">
        <f>AD6+AA7</f>
        <v/>
      </c>
      <c r="AE7">
        <f>IF(Y7&gt;=0,"Yes","No")</f>
        <v/>
      </c>
      <c r="AF7">
        <f>IF(AD7&gt;=0,"Yes","No")</f>
        <v/>
      </c>
    </row>
    <row r="8">
      <c r="A8">
        <f>7</f>
        <v/>
      </c>
      <c r="B8" s="10">
        <f>B7*(1-INDEX('01_ASSUMPTIONS'!$J$5:$J$39,MATCH("monthly_churn",'01_ASSUMPTIONS'!$B$5:$B$39,0)))+INDEX('01_ASSUMPTIONS'!$J$5:$J$39,MATCH("starter_monthly_acquisition",'01_ASSUMPTIONS'!$B$5:$B$39,0))</f>
        <v/>
      </c>
      <c r="C8" s="10">
        <f>C7*(1-INDEX('01_ASSUMPTIONS'!$J$5:$J$39,MATCH("monthly_churn",'01_ASSUMPTIONS'!$B$5:$B$39,0)))+INDEX('01_ASSUMPTIONS'!$J$5:$J$39,MATCH("professional_monthly_acquisition",'01_ASSUMPTIONS'!$B$5:$B$39,0))</f>
        <v/>
      </c>
      <c r="D8" s="10">
        <f>D7*(1-INDEX('01_ASSUMPTIONS'!$J$5:$J$39,MATCH("monthly_churn",'01_ASSUMPTIONS'!$B$5:$B$39,0)))+INDEX('01_ASSUMPTIONS'!$J$5:$J$39,MATCH("enterprise_monthly_acquisition",'01_ASSUMPTIONS'!$B$5:$B$39,0))</f>
        <v/>
      </c>
      <c r="E8" s="10">
        <f>SUM(B8:D8)</f>
        <v/>
      </c>
      <c r="F8" s="10">
        <f>B8*INDEX('01_ASSUMPTIONS'!$J$5:$J$39,MATCH("starter_studies_per_customer",'01_ASSUMPTIONS'!$B$5:$B$39,0))</f>
        <v/>
      </c>
      <c r="G8" s="10">
        <f>C8*INDEX('01_ASSUMPTIONS'!$J$5:$J$39,MATCH("professional_studies_per_customer",'01_ASSUMPTIONS'!$B$5:$B$39,0))</f>
        <v/>
      </c>
      <c r="H8" s="10">
        <f>D8*INDEX('01_ASSUMPTIONS'!$J$5:$J$39,MATCH("enterprise_studies_per_customer",'01_ASSUMPTIONS'!$B$5:$B$39,0))</f>
        <v/>
      </c>
      <c r="I8" s="10">
        <f>SUM(F8:H8)</f>
        <v/>
      </c>
      <c r="J8" s="9">
        <f>B8*INDEX('01_ASSUMPTIONS'!$J$5:$J$39,MATCH("starter_fee",'01_ASSUMPTIONS'!$B$5:$B$39,0))+C8*INDEX('01_ASSUMPTIONS'!$J$5:$J$39,MATCH("professional_fee",'01_ASSUMPTIONS'!$B$5:$B$39,0))+D8*INDEX('01_ASSUMPTIONS'!$J$5:$J$39,MATCH("enterprise_fee",'01_ASSUMPTIONS'!$B$5:$B$39,0))</f>
        <v/>
      </c>
      <c r="K8" s="9">
        <f>MAX(F8-B8*INDEX('01_ASSUMPTIONS'!$J$5:$J$39,MATCH("starter_included_studies",'01_ASSUMPTIONS'!$B$5:$B$39,0)),0)*INDEX('01_ASSUMPTIONS'!$J$5:$J$39,MATCH("starter_overage_fee",'01_ASSUMPTIONS'!$B$5:$B$39,0))+MAX(G8-C8*INDEX('01_ASSUMPTIONS'!$J$5:$J$39,MATCH("professional_included_studies",'01_ASSUMPTIONS'!$B$5:$B$39,0)),0)*INDEX('01_ASSUMPTIONS'!$J$5:$J$39,MATCH("professional_overage_fee",'01_ASSUMPTIONS'!$B$5:$B$39,0))+MAX(H8-D8*INDEX('01_ASSUMPTIONS'!$J$5:$J$39,MATCH("enterprise_included_studies",'01_ASSUMPTIONS'!$B$5:$B$39,0)),0)*INDEX('01_ASSUMPTIONS'!$J$5:$J$39,MATCH("enterprise_overage_fee",'01_ASSUMPTIONS'!$B$5:$B$39,0))</f>
        <v/>
      </c>
      <c r="L8" s="9">
        <f>J8+K8</f>
        <v/>
      </c>
      <c r="M8" s="9">
        <f>I8*INDEX('01_ASSUMPTIONS'!$J$5:$J$39,MATCH("cloud_cost_per_study",'01_ASSUMPTIONS'!$B$5:$B$39,0))</f>
        <v/>
      </c>
      <c r="N8" s="9">
        <f>I8*INDEX('01_ASSUMPTIONS'!$J$5:$J$39,MATCH("storage_cost_per_study",'01_ASSUMPTIONS'!$B$5:$B$39,0))</f>
        <v/>
      </c>
      <c r="O8" s="9">
        <f>I8*INDEX('01_ASSUMPTIONS'!$J$5:$J$39,MATCH("ai_processing_cost_per_study",'01_ASSUMPTIONS'!$B$5:$B$39,0))</f>
        <v/>
      </c>
      <c r="P8" s="9">
        <f>E8*INDEX('01_ASSUMPTIONS'!$J$5:$J$39,MATCH("variable_support_per_customer",'01_ASSUMPTIONS'!$B$5:$B$39,0))</f>
        <v/>
      </c>
      <c r="Q8" s="9">
        <f>SUM(M8:P8)</f>
        <v/>
      </c>
      <c r="R8" s="9">
        <f>INDEX('01_ASSUMPTIONS'!$J$5:$J$39,MATCH("fixed_infra",'01_ASSUMPTIONS'!$B$5:$B$39,0))</f>
        <v/>
      </c>
      <c r="S8" s="9">
        <f>INDEX('01_ASSUMPTIONS'!$J$5:$J$39,MATCH("software_maintenance",'01_ASSUMPTIONS'!$B$5:$B$39,0))</f>
        <v/>
      </c>
      <c r="T8" s="9">
        <f>INDEX('01_ASSUMPTIONS'!$J$5:$J$39,MATCH("base_support",'01_ASSUMPTIONS'!$B$5:$B$39,0))</f>
        <v/>
      </c>
      <c r="U8" s="9">
        <f>INDEX('01_ASSUMPTIONS'!$J$5:$J$39,MATCH("admin",'01_ASSUMPTIONS'!$B$5:$B$39,0))</f>
        <v/>
      </c>
      <c r="V8" s="9">
        <f>INDEX('01_ASSUMPTIONS'!$J$5:$J$39,MATCH("commercial_marketing",'01_ASSUMPTIONS'!$B$5:$B$39,0))</f>
        <v/>
      </c>
      <c r="W8" s="9">
        <f>INDEX('01_ASSUMPTIONS'!$J$5:$J$39,MATCH("other_fixed",'01_ASSUMPTIONS'!$B$5:$B$39,0))</f>
        <v/>
      </c>
      <c r="X8" s="9">
        <f>SUM(R8:W8)</f>
        <v/>
      </c>
      <c r="Y8" s="9">
        <f>L8-Q8-X8</f>
        <v/>
      </c>
      <c r="Z8" s="9">
        <f>0</f>
        <v/>
      </c>
      <c r="AA8" s="9">
        <f>Y8-Z8</f>
        <v/>
      </c>
      <c r="AB8" s="8">
        <f>1/(1+'01_ASSUMPTIONS'!$E$2)^A8</f>
        <v/>
      </c>
      <c r="AC8" s="9">
        <f>AA8*AB8</f>
        <v/>
      </c>
      <c r="AD8" s="9">
        <f>AD7+AA8</f>
        <v/>
      </c>
      <c r="AE8">
        <f>IF(Y8&gt;=0,"Yes","No")</f>
        <v/>
      </c>
      <c r="AF8">
        <f>IF(AD8&gt;=0,"Yes","No")</f>
        <v/>
      </c>
    </row>
    <row r="9">
      <c r="A9">
        <f>8</f>
        <v/>
      </c>
      <c r="B9" s="10">
        <f>B8*(1-INDEX('01_ASSUMPTIONS'!$J$5:$J$39,MATCH("monthly_churn",'01_ASSUMPTIONS'!$B$5:$B$39,0)))+INDEX('01_ASSUMPTIONS'!$J$5:$J$39,MATCH("starter_monthly_acquisition",'01_ASSUMPTIONS'!$B$5:$B$39,0))</f>
        <v/>
      </c>
      <c r="C9" s="10">
        <f>C8*(1-INDEX('01_ASSUMPTIONS'!$J$5:$J$39,MATCH("monthly_churn",'01_ASSUMPTIONS'!$B$5:$B$39,0)))+INDEX('01_ASSUMPTIONS'!$J$5:$J$39,MATCH("professional_monthly_acquisition",'01_ASSUMPTIONS'!$B$5:$B$39,0))</f>
        <v/>
      </c>
      <c r="D9" s="10">
        <f>D8*(1-INDEX('01_ASSUMPTIONS'!$J$5:$J$39,MATCH("monthly_churn",'01_ASSUMPTIONS'!$B$5:$B$39,0)))+INDEX('01_ASSUMPTIONS'!$J$5:$J$39,MATCH("enterprise_monthly_acquisition",'01_ASSUMPTIONS'!$B$5:$B$39,0))</f>
        <v/>
      </c>
      <c r="E9" s="10">
        <f>SUM(B9:D9)</f>
        <v/>
      </c>
      <c r="F9" s="10">
        <f>B9*INDEX('01_ASSUMPTIONS'!$J$5:$J$39,MATCH("starter_studies_per_customer",'01_ASSUMPTIONS'!$B$5:$B$39,0))</f>
        <v/>
      </c>
      <c r="G9" s="10">
        <f>C9*INDEX('01_ASSUMPTIONS'!$J$5:$J$39,MATCH("professional_studies_per_customer",'01_ASSUMPTIONS'!$B$5:$B$39,0))</f>
        <v/>
      </c>
      <c r="H9" s="10">
        <f>D9*INDEX('01_ASSUMPTIONS'!$J$5:$J$39,MATCH("enterprise_studies_per_customer",'01_ASSUMPTIONS'!$B$5:$B$39,0))</f>
        <v/>
      </c>
      <c r="I9" s="10">
        <f>SUM(F9:H9)</f>
        <v/>
      </c>
      <c r="J9" s="9">
        <f>B9*INDEX('01_ASSUMPTIONS'!$J$5:$J$39,MATCH("starter_fee",'01_ASSUMPTIONS'!$B$5:$B$39,0))+C9*INDEX('01_ASSUMPTIONS'!$J$5:$J$39,MATCH("professional_fee",'01_ASSUMPTIONS'!$B$5:$B$39,0))+D9*INDEX('01_ASSUMPTIONS'!$J$5:$J$39,MATCH("enterprise_fee",'01_ASSUMPTIONS'!$B$5:$B$39,0))</f>
        <v/>
      </c>
      <c r="K9" s="9">
        <f>MAX(F9-B9*INDEX('01_ASSUMPTIONS'!$J$5:$J$39,MATCH("starter_included_studies",'01_ASSUMPTIONS'!$B$5:$B$39,0)),0)*INDEX('01_ASSUMPTIONS'!$J$5:$J$39,MATCH("starter_overage_fee",'01_ASSUMPTIONS'!$B$5:$B$39,0))+MAX(G9-C9*INDEX('01_ASSUMPTIONS'!$J$5:$J$39,MATCH("professional_included_studies",'01_ASSUMPTIONS'!$B$5:$B$39,0)),0)*INDEX('01_ASSUMPTIONS'!$J$5:$J$39,MATCH("professional_overage_fee",'01_ASSUMPTIONS'!$B$5:$B$39,0))+MAX(H9-D9*INDEX('01_ASSUMPTIONS'!$J$5:$J$39,MATCH("enterprise_included_studies",'01_ASSUMPTIONS'!$B$5:$B$39,0)),0)*INDEX('01_ASSUMPTIONS'!$J$5:$J$39,MATCH("enterprise_overage_fee",'01_ASSUMPTIONS'!$B$5:$B$39,0))</f>
        <v/>
      </c>
      <c r="L9" s="9">
        <f>J9+K9</f>
        <v/>
      </c>
      <c r="M9" s="9">
        <f>I9*INDEX('01_ASSUMPTIONS'!$J$5:$J$39,MATCH("cloud_cost_per_study",'01_ASSUMPTIONS'!$B$5:$B$39,0))</f>
        <v/>
      </c>
      <c r="N9" s="9">
        <f>I9*INDEX('01_ASSUMPTIONS'!$J$5:$J$39,MATCH("storage_cost_per_study",'01_ASSUMPTIONS'!$B$5:$B$39,0))</f>
        <v/>
      </c>
      <c r="O9" s="9">
        <f>I9*INDEX('01_ASSUMPTIONS'!$J$5:$J$39,MATCH("ai_processing_cost_per_study",'01_ASSUMPTIONS'!$B$5:$B$39,0))</f>
        <v/>
      </c>
      <c r="P9" s="9">
        <f>E9*INDEX('01_ASSUMPTIONS'!$J$5:$J$39,MATCH("variable_support_per_customer",'01_ASSUMPTIONS'!$B$5:$B$39,0))</f>
        <v/>
      </c>
      <c r="Q9" s="9">
        <f>SUM(M9:P9)</f>
        <v/>
      </c>
      <c r="R9" s="9">
        <f>INDEX('01_ASSUMPTIONS'!$J$5:$J$39,MATCH("fixed_infra",'01_ASSUMPTIONS'!$B$5:$B$39,0))</f>
        <v/>
      </c>
      <c r="S9" s="9">
        <f>INDEX('01_ASSUMPTIONS'!$J$5:$J$39,MATCH("software_maintenance",'01_ASSUMPTIONS'!$B$5:$B$39,0))</f>
        <v/>
      </c>
      <c r="T9" s="9">
        <f>INDEX('01_ASSUMPTIONS'!$J$5:$J$39,MATCH("base_support",'01_ASSUMPTIONS'!$B$5:$B$39,0))</f>
        <v/>
      </c>
      <c r="U9" s="9">
        <f>INDEX('01_ASSUMPTIONS'!$J$5:$J$39,MATCH("admin",'01_ASSUMPTIONS'!$B$5:$B$39,0))</f>
        <v/>
      </c>
      <c r="V9" s="9">
        <f>INDEX('01_ASSUMPTIONS'!$J$5:$J$39,MATCH("commercial_marketing",'01_ASSUMPTIONS'!$B$5:$B$39,0))</f>
        <v/>
      </c>
      <c r="W9" s="9">
        <f>INDEX('01_ASSUMPTIONS'!$J$5:$J$39,MATCH("other_fixed",'01_ASSUMPTIONS'!$B$5:$B$39,0))</f>
        <v/>
      </c>
      <c r="X9" s="9">
        <f>SUM(R9:W9)</f>
        <v/>
      </c>
      <c r="Y9" s="9">
        <f>L9-Q9-X9</f>
        <v/>
      </c>
      <c r="Z9" s="9">
        <f>0</f>
        <v/>
      </c>
      <c r="AA9" s="9">
        <f>Y9-Z9</f>
        <v/>
      </c>
      <c r="AB9" s="8">
        <f>1/(1+'01_ASSUMPTIONS'!$E$2)^A9</f>
        <v/>
      </c>
      <c r="AC9" s="9">
        <f>AA9*AB9</f>
        <v/>
      </c>
      <c r="AD9" s="9">
        <f>AD8+AA9</f>
        <v/>
      </c>
      <c r="AE9">
        <f>IF(Y9&gt;=0,"Yes","No")</f>
        <v/>
      </c>
      <c r="AF9">
        <f>IF(AD9&gt;=0,"Yes","No")</f>
        <v/>
      </c>
    </row>
    <row r="10">
      <c r="A10">
        <f>9</f>
        <v/>
      </c>
      <c r="B10" s="10">
        <f>B9*(1-INDEX('01_ASSUMPTIONS'!$J$5:$J$39,MATCH("monthly_churn",'01_ASSUMPTIONS'!$B$5:$B$39,0)))+INDEX('01_ASSUMPTIONS'!$J$5:$J$39,MATCH("starter_monthly_acquisition",'01_ASSUMPTIONS'!$B$5:$B$39,0))</f>
        <v/>
      </c>
      <c r="C10" s="10">
        <f>C9*(1-INDEX('01_ASSUMPTIONS'!$J$5:$J$39,MATCH("monthly_churn",'01_ASSUMPTIONS'!$B$5:$B$39,0)))+INDEX('01_ASSUMPTIONS'!$J$5:$J$39,MATCH("professional_monthly_acquisition",'01_ASSUMPTIONS'!$B$5:$B$39,0))</f>
        <v/>
      </c>
      <c r="D10" s="10">
        <f>D9*(1-INDEX('01_ASSUMPTIONS'!$J$5:$J$39,MATCH("monthly_churn",'01_ASSUMPTIONS'!$B$5:$B$39,0)))+INDEX('01_ASSUMPTIONS'!$J$5:$J$39,MATCH("enterprise_monthly_acquisition",'01_ASSUMPTIONS'!$B$5:$B$39,0))</f>
        <v/>
      </c>
      <c r="E10" s="10">
        <f>SUM(B10:D10)</f>
        <v/>
      </c>
      <c r="F10" s="10">
        <f>B10*INDEX('01_ASSUMPTIONS'!$J$5:$J$39,MATCH("starter_studies_per_customer",'01_ASSUMPTIONS'!$B$5:$B$39,0))</f>
        <v/>
      </c>
      <c r="G10" s="10">
        <f>C10*INDEX('01_ASSUMPTIONS'!$J$5:$J$39,MATCH("professional_studies_per_customer",'01_ASSUMPTIONS'!$B$5:$B$39,0))</f>
        <v/>
      </c>
      <c r="H10" s="10">
        <f>D10*INDEX('01_ASSUMPTIONS'!$J$5:$J$39,MATCH("enterprise_studies_per_customer",'01_ASSUMPTIONS'!$B$5:$B$39,0))</f>
        <v/>
      </c>
      <c r="I10" s="10">
        <f>SUM(F10:H10)</f>
        <v/>
      </c>
      <c r="J10" s="9">
        <f>B10*INDEX('01_ASSUMPTIONS'!$J$5:$J$39,MATCH("starter_fee",'01_ASSUMPTIONS'!$B$5:$B$39,0))+C10*INDEX('01_ASSUMPTIONS'!$J$5:$J$39,MATCH("professional_fee",'01_ASSUMPTIONS'!$B$5:$B$39,0))+D10*INDEX('01_ASSUMPTIONS'!$J$5:$J$39,MATCH("enterprise_fee",'01_ASSUMPTIONS'!$B$5:$B$39,0))</f>
        <v/>
      </c>
      <c r="K10" s="9">
        <f>MAX(F10-B10*INDEX('01_ASSUMPTIONS'!$J$5:$J$39,MATCH("starter_included_studies",'01_ASSUMPTIONS'!$B$5:$B$39,0)),0)*INDEX('01_ASSUMPTIONS'!$J$5:$J$39,MATCH("starter_overage_fee",'01_ASSUMPTIONS'!$B$5:$B$39,0))+MAX(G10-C10*INDEX('01_ASSUMPTIONS'!$J$5:$J$39,MATCH("professional_included_studies",'01_ASSUMPTIONS'!$B$5:$B$39,0)),0)*INDEX('01_ASSUMPTIONS'!$J$5:$J$39,MATCH("professional_overage_fee",'01_ASSUMPTIONS'!$B$5:$B$39,0))+MAX(H10-D10*INDEX('01_ASSUMPTIONS'!$J$5:$J$39,MATCH("enterprise_included_studies",'01_ASSUMPTIONS'!$B$5:$B$39,0)),0)*INDEX('01_ASSUMPTIONS'!$J$5:$J$39,MATCH("enterprise_overage_fee",'01_ASSUMPTIONS'!$B$5:$B$39,0))</f>
        <v/>
      </c>
      <c r="L10" s="9">
        <f>J10+K10</f>
        <v/>
      </c>
      <c r="M10" s="9">
        <f>I10*INDEX('01_ASSUMPTIONS'!$J$5:$J$39,MATCH("cloud_cost_per_study",'01_ASSUMPTIONS'!$B$5:$B$39,0))</f>
        <v/>
      </c>
      <c r="N10" s="9">
        <f>I10*INDEX('01_ASSUMPTIONS'!$J$5:$J$39,MATCH("storage_cost_per_study",'01_ASSUMPTIONS'!$B$5:$B$39,0))</f>
        <v/>
      </c>
      <c r="O10" s="9">
        <f>I10*INDEX('01_ASSUMPTIONS'!$J$5:$J$39,MATCH("ai_processing_cost_per_study",'01_ASSUMPTIONS'!$B$5:$B$39,0))</f>
        <v/>
      </c>
      <c r="P10" s="9">
        <f>E10*INDEX('01_ASSUMPTIONS'!$J$5:$J$39,MATCH("variable_support_per_customer",'01_ASSUMPTIONS'!$B$5:$B$39,0))</f>
        <v/>
      </c>
      <c r="Q10" s="9">
        <f>SUM(M10:P10)</f>
        <v/>
      </c>
      <c r="R10" s="9">
        <f>INDEX('01_ASSUMPTIONS'!$J$5:$J$39,MATCH("fixed_infra",'01_ASSUMPTIONS'!$B$5:$B$39,0))</f>
        <v/>
      </c>
      <c r="S10" s="9">
        <f>INDEX('01_ASSUMPTIONS'!$J$5:$J$39,MATCH("software_maintenance",'01_ASSUMPTIONS'!$B$5:$B$39,0))</f>
        <v/>
      </c>
      <c r="T10" s="9">
        <f>INDEX('01_ASSUMPTIONS'!$J$5:$J$39,MATCH("base_support",'01_ASSUMPTIONS'!$B$5:$B$39,0))</f>
        <v/>
      </c>
      <c r="U10" s="9">
        <f>INDEX('01_ASSUMPTIONS'!$J$5:$J$39,MATCH("admin",'01_ASSUMPTIONS'!$B$5:$B$39,0))</f>
        <v/>
      </c>
      <c r="V10" s="9">
        <f>INDEX('01_ASSUMPTIONS'!$J$5:$J$39,MATCH("commercial_marketing",'01_ASSUMPTIONS'!$B$5:$B$39,0))</f>
        <v/>
      </c>
      <c r="W10" s="9">
        <f>INDEX('01_ASSUMPTIONS'!$J$5:$J$39,MATCH("other_fixed",'01_ASSUMPTIONS'!$B$5:$B$39,0))</f>
        <v/>
      </c>
      <c r="X10" s="9">
        <f>SUM(R10:W10)</f>
        <v/>
      </c>
      <c r="Y10" s="9">
        <f>L10-Q10-X10</f>
        <v/>
      </c>
      <c r="Z10" s="9">
        <f>0</f>
        <v/>
      </c>
      <c r="AA10" s="9">
        <f>Y10-Z10</f>
        <v/>
      </c>
      <c r="AB10" s="8">
        <f>1/(1+'01_ASSUMPTIONS'!$E$2)^A10</f>
        <v/>
      </c>
      <c r="AC10" s="9">
        <f>AA10*AB10</f>
        <v/>
      </c>
      <c r="AD10" s="9">
        <f>AD9+AA10</f>
        <v/>
      </c>
      <c r="AE10">
        <f>IF(Y10&gt;=0,"Yes","No")</f>
        <v/>
      </c>
      <c r="AF10">
        <f>IF(AD10&gt;=0,"Yes","No")</f>
        <v/>
      </c>
    </row>
    <row r="11">
      <c r="A11">
        <f>10</f>
        <v/>
      </c>
      <c r="B11" s="10">
        <f>B10*(1-INDEX('01_ASSUMPTIONS'!$J$5:$J$39,MATCH("monthly_churn",'01_ASSUMPTIONS'!$B$5:$B$39,0)))+INDEX('01_ASSUMPTIONS'!$J$5:$J$39,MATCH("starter_monthly_acquisition",'01_ASSUMPTIONS'!$B$5:$B$39,0))</f>
        <v/>
      </c>
      <c r="C11" s="10">
        <f>C10*(1-INDEX('01_ASSUMPTIONS'!$J$5:$J$39,MATCH("monthly_churn",'01_ASSUMPTIONS'!$B$5:$B$39,0)))+INDEX('01_ASSUMPTIONS'!$J$5:$J$39,MATCH("professional_monthly_acquisition",'01_ASSUMPTIONS'!$B$5:$B$39,0))</f>
        <v/>
      </c>
      <c r="D11" s="10">
        <f>D10*(1-INDEX('01_ASSUMPTIONS'!$J$5:$J$39,MATCH("monthly_churn",'01_ASSUMPTIONS'!$B$5:$B$39,0)))+INDEX('01_ASSUMPTIONS'!$J$5:$J$39,MATCH("enterprise_monthly_acquisition",'01_ASSUMPTIONS'!$B$5:$B$39,0))</f>
        <v/>
      </c>
      <c r="E11" s="10">
        <f>SUM(B11:D11)</f>
        <v/>
      </c>
      <c r="F11" s="10">
        <f>B11*INDEX('01_ASSUMPTIONS'!$J$5:$J$39,MATCH("starter_studies_per_customer",'01_ASSUMPTIONS'!$B$5:$B$39,0))</f>
        <v/>
      </c>
      <c r="G11" s="10">
        <f>C11*INDEX('01_ASSUMPTIONS'!$J$5:$J$39,MATCH("professional_studies_per_customer",'01_ASSUMPTIONS'!$B$5:$B$39,0))</f>
        <v/>
      </c>
      <c r="H11" s="10">
        <f>D11*INDEX('01_ASSUMPTIONS'!$J$5:$J$39,MATCH("enterprise_studies_per_customer",'01_ASSUMPTIONS'!$B$5:$B$39,0))</f>
        <v/>
      </c>
      <c r="I11" s="10">
        <f>SUM(F11:H11)</f>
        <v/>
      </c>
      <c r="J11" s="9">
        <f>B11*INDEX('01_ASSUMPTIONS'!$J$5:$J$39,MATCH("starter_fee",'01_ASSUMPTIONS'!$B$5:$B$39,0))+C11*INDEX('01_ASSUMPTIONS'!$J$5:$J$39,MATCH("professional_fee",'01_ASSUMPTIONS'!$B$5:$B$39,0))+D11*INDEX('01_ASSUMPTIONS'!$J$5:$J$39,MATCH("enterprise_fee",'01_ASSUMPTIONS'!$B$5:$B$39,0))</f>
        <v/>
      </c>
      <c r="K11" s="9">
        <f>MAX(F11-B11*INDEX('01_ASSUMPTIONS'!$J$5:$J$39,MATCH("starter_included_studies",'01_ASSUMPTIONS'!$B$5:$B$39,0)),0)*INDEX('01_ASSUMPTIONS'!$J$5:$J$39,MATCH("starter_overage_fee",'01_ASSUMPTIONS'!$B$5:$B$39,0))+MAX(G11-C11*INDEX('01_ASSUMPTIONS'!$J$5:$J$39,MATCH("professional_included_studies",'01_ASSUMPTIONS'!$B$5:$B$39,0)),0)*INDEX('01_ASSUMPTIONS'!$J$5:$J$39,MATCH("professional_overage_fee",'01_ASSUMPTIONS'!$B$5:$B$39,0))+MAX(H11-D11*INDEX('01_ASSUMPTIONS'!$J$5:$J$39,MATCH("enterprise_included_studies",'01_ASSUMPTIONS'!$B$5:$B$39,0)),0)*INDEX('01_ASSUMPTIONS'!$J$5:$J$39,MATCH("enterprise_overage_fee",'01_ASSUMPTIONS'!$B$5:$B$39,0))</f>
        <v/>
      </c>
      <c r="L11" s="9">
        <f>J11+K11</f>
        <v/>
      </c>
      <c r="M11" s="9">
        <f>I11*INDEX('01_ASSUMPTIONS'!$J$5:$J$39,MATCH("cloud_cost_per_study",'01_ASSUMPTIONS'!$B$5:$B$39,0))</f>
        <v/>
      </c>
      <c r="N11" s="9">
        <f>I11*INDEX('01_ASSUMPTIONS'!$J$5:$J$39,MATCH("storage_cost_per_study",'01_ASSUMPTIONS'!$B$5:$B$39,0))</f>
        <v/>
      </c>
      <c r="O11" s="9">
        <f>I11*INDEX('01_ASSUMPTIONS'!$J$5:$J$39,MATCH("ai_processing_cost_per_study",'01_ASSUMPTIONS'!$B$5:$B$39,0))</f>
        <v/>
      </c>
      <c r="P11" s="9">
        <f>E11*INDEX('01_ASSUMPTIONS'!$J$5:$J$39,MATCH("variable_support_per_customer",'01_ASSUMPTIONS'!$B$5:$B$39,0))</f>
        <v/>
      </c>
      <c r="Q11" s="9">
        <f>SUM(M11:P11)</f>
        <v/>
      </c>
      <c r="R11" s="9">
        <f>INDEX('01_ASSUMPTIONS'!$J$5:$J$39,MATCH("fixed_infra",'01_ASSUMPTIONS'!$B$5:$B$39,0))</f>
        <v/>
      </c>
      <c r="S11" s="9">
        <f>INDEX('01_ASSUMPTIONS'!$J$5:$J$39,MATCH("software_maintenance",'01_ASSUMPTIONS'!$B$5:$B$39,0))</f>
        <v/>
      </c>
      <c r="T11" s="9">
        <f>INDEX('01_ASSUMPTIONS'!$J$5:$J$39,MATCH("base_support",'01_ASSUMPTIONS'!$B$5:$B$39,0))</f>
        <v/>
      </c>
      <c r="U11" s="9">
        <f>INDEX('01_ASSUMPTIONS'!$J$5:$J$39,MATCH("admin",'01_ASSUMPTIONS'!$B$5:$B$39,0))</f>
        <v/>
      </c>
      <c r="V11" s="9">
        <f>INDEX('01_ASSUMPTIONS'!$J$5:$J$39,MATCH("commercial_marketing",'01_ASSUMPTIONS'!$B$5:$B$39,0))</f>
        <v/>
      </c>
      <c r="W11" s="9">
        <f>INDEX('01_ASSUMPTIONS'!$J$5:$J$39,MATCH("other_fixed",'01_ASSUMPTIONS'!$B$5:$B$39,0))</f>
        <v/>
      </c>
      <c r="X11" s="9">
        <f>SUM(R11:W11)</f>
        <v/>
      </c>
      <c r="Y11" s="9">
        <f>L11-Q11-X11</f>
        <v/>
      </c>
      <c r="Z11" s="9">
        <f>0</f>
        <v/>
      </c>
      <c r="AA11" s="9">
        <f>Y11-Z11</f>
        <v/>
      </c>
      <c r="AB11" s="8">
        <f>1/(1+'01_ASSUMPTIONS'!$E$2)^A11</f>
        <v/>
      </c>
      <c r="AC11" s="9">
        <f>AA11*AB11</f>
        <v/>
      </c>
      <c r="AD11" s="9">
        <f>AD10+AA11</f>
        <v/>
      </c>
      <c r="AE11">
        <f>IF(Y11&gt;=0,"Yes","No")</f>
        <v/>
      </c>
      <c r="AF11">
        <f>IF(AD11&gt;=0,"Yes","No")</f>
        <v/>
      </c>
    </row>
    <row r="12">
      <c r="A12">
        <f>11</f>
        <v/>
      </c>
      <c r="B12" s="10">
        <f>B11*(1-INDEX('01_ASSUMPTIONS'!$J$5:$J$39,MATCH("monthly_churn",'01_ASSUMPTIONS'!$B$5:$B$39,0)))+INDEX('01_ASSUMPTIONS'!$J$5:$J$39,MATCH("starter_monthly_acquisition",'01_ASSUMPTIONS'!$B$5:$B$39,0))</f>
        <v/>
      </c>
      <c r="C12" s="10">
        <f>C11*(1-INDEX('01_ASSUMPTIONS'!$J$5:$J$39,MATCH("monthly_churn",'01_ASSUMPTIONS'!$B$5:$B$39,0)))+INDEX('01_ASSUMPTIONS'!$J$5:$J$39,MATCH("professional_monthly_acquisition",'01_ASSUMPTIONS'!$B$5:$B$39,0))</f>
        <v/>
      </c>
      <c r="D12" s="10">
        <f>D11*(1-INDEX('01_ASSUMPTIONS'!$J$5:$J$39,MATCH("monthly_churn",'01_ASSUMPTIONS'!$B$5:$B$39,0)))+INDEX('01_ASSUMPTIONS'!$J$5:$J$39,MATCH("enterprise_monthly_acquisition",'01_ASSUMPTIONS'!$B$5:$B$39,0))</f>
        <v/>
      </c>
      <c r="E12" s="10">
        <f>SUM(B12:D12)</f>
        <v/>
      </c>
      <c r="F12" s="10">
        <f>B12*INDEX('01_ASSUMPTIONS'!$J$5:$J$39,MATCH("starter_studies_per_customer",'01_ASSUMPTIONS'!$B$5:$B$39,0))</f>
        <v/>
      </c>
      <c r="G12" s="10">
        <f>C12*INDEX('01_ASSUMPTIONS'!$J$5:$J$39,MATCH("professional_studies_per_customer",'01_ASSUMPTIONS'!$B$5:$B$39,0))</f>
        <v/>
      </c>
      <c r="H12" s="10">
        <f>D12*INDEX('01_ASSUMPTIONS'!$J$5:$J$39,MATCH("enterprise_studies_per_customer",'01_ASSUMPTIONS'!$B$5:$B$39,0))</f>
        <v/>
      </c>
      <c r="I12" s="10">
        <f>SUM(F12:H12)</f>
        <v/>
      </c>
      <c r="J12" s="9">
        <f>B12*INDEX('01_ASSUMPTIONS'!$J$5:$J$39,MATCH("starter_fee",'01_ASSUMPTIONS'!$B$5:$B$39,0))+C12*INDEX('01_ASSUMPTIONS'!$J$5:$J$39,MATCH("professional_fee",'01_ASSUMPTIONS'!$B$5:$B$39,0))+D12*INDEX('01_ASSUMPTIONS'!$J$5:$J$39,MATCH("enterprise_fee",'01_ASSUMPTIONS'!$B$5:$B$39,0))</f>
        <v/>
      </c>
      <c r="K12" s="9">
        <f>MAX(F12-B12*INDEX('01_ASSUMPTIONS'!$J$5:$J$39,MATCH("starter_included_studies",'01_ASSUMPTIONS'!$B$5:$B$39,0)),0)*INDEX('01_ASSUMPTIONS'!$J$5:$J$39,MATCH("starter_overage_fee",'01_ASSUMPTIONS'!$B$5:$B$39,0))+MAX(G12-C12*INDEX('01_ASSUMPTIONS'!$J$5:$J$39,MATCH("professional_included_studies",'01_ASSUMPTIONS'!$B$5:$B$39,0)),0)*INDEX('01_ASSUMPTIONS'!$J$5:$J$39,MATCH("professional_overage_fee",'01_ASSUMPTIONS'!$B$5:$B$39,0))+MAX(H12-D12*INDEX('01_ASSUMPTIONS'!$J$5:$J$39,MATCH("enterprise_included_studies",'01_ASSUMPTIONS'!$B$5:$B$39,0)),0)*INDEX('01_ASSUMPTIONS'!$J$5:$J$39,MATCH("enterprise_overage_fee",'01_ASSUMPTIONS'!$B$5:$B$39,0))</f>
        <v/>
      </c>
      <c r="L12" s="9">
        <f>J12+K12</f>
        <v/>
      </c>
      <c r="M12" s="9">
        <f>I12*INDEX('01_ASSUMPTIONS'!$J$5:$J$39,MATCH("cloud_cost_per_study",'01_ASSUMPTIONS'!$B$5:$B$39,0))</f>
        <v/>
      </c>
      <c r="N12" s="9">
        <f>I12*INDEX('01_ASSUMPTIONS'!$J$5:$J$39,MATCH("storage_cost_per_study",'01_ASSUMPTIONS'!$B$5:$B$39,0))</f>
        <v/>
      </c>
      <c r="O12" s="9">
        <f>I12*INDEX('01_ASSUMPTIONS'!$J$5:$J$39,MATCH("ai_processing_cost_per_study",'01_ASSUMPTIONS'!$B$5:$B$39,0))</f>
        <v/>
      </c>
      <c r="P12" s="9">
        <f>E12*INDEX('01_ASSUMPTIONS'!$J$5:$J$39,MATCH("variable_support_per_customer",'01_ASSUMPTIONS'!$B$5:$B$39,0))</f>
        <v/>
      </c>
      <c r="Q12" s="9">
        <f>SUM(M12:P12)</f>
        <v/>
      </c>
      <c r="R12" s="9">
        <f>INDEX('01_ASSUMPTIONS'!$J$5:$J$39,MATCH("fixed_infra",'01_ASSUMPTIONS'!$B$5:$B$39,0))</f>
        <v/>
      </c>
      <c r="S12" s="9">
        <f>INDEX('01_ASSUMPTIONS'!$J$5:$J$39,MATCH("software_maintenance",'01_ASSUMPTIONS'!$B$5:$B$39,0))</f>
        <v/>
      </c>
      <c r="T12" s="9">
        <f>INDEX('01_ASSUMPTIONS'!$J$5:$J$39,MATCH("base_support",'01_ASSUMPTIONS'!$B$5:$B$39,0))</f>
        <v/>
      </c>
      <c r="U12" s="9">
        <f>INDEX('01_ASSUMPTIONS'!$J$5:$J$39,MATCH("admin",'01_ASSUMPTIONS'!$B$5:$B$39,0))</f>
        <v/>
      </c>
      <c r="V12" s="9">
        <f>INDEX('01_ASSUMPTIONS'!$J$5:$J$39,MATCH("commercial_marketing",'01_ASSUMPTIONS'!$B$5:$B$39,0))</f>
        <v/>
      </c>
      <c r="W12" s="9">
        <f>INDEX('01_ASSUMPTIONS'!$J$5:$J$39,MATCH("other_fixed",'01_ASSUMPTIONS'!$B$5:$B$39,0))</f>
        <v/>
      </c>
      <c r="X12" s="9">
        <f>SUM(R12:W12)</f>
        <v/>
      </c>
      <c r="Y12" s="9">
        <f>L12-Q12-X12</f>
        <v/>
      </c>
      <c r="Z12" s="9">
        <f>0</f>
        <v/>
      </c>
      <c r="AA12" s="9">
        <f>Y12-Z12</f>
        <v/>
      </c>
      <c r="AB12" s="8">
        <f>1/(1+'01_ASSUMPTIONS'!$E$2)^A12</f>
        <v/>
      </c>
      <c r="AC12" s="9">
        <f>AA12*AB12</f>
        <v/>
      </c>
      <c r="AD12" s="9">
        <f>AD11+AA12</f>
        <v/>
      </c>
      <c r="AE12">
        <f>IF(Y12&gt;=0,"Yes","No")</f>
        <v/>
      </c>
      <c r="AF12">
        <f>IF(AD12&gt;=0,"Yes","No")</f>
        <v/>
      </c>
    </row>
    <row r="13">
      <c r="A13">
        <f>12</f>
        <v/>
      </c>
      <c r="B13" s="10">
        <f>B12*(1-INDEX('01_ASSUMPTIONS'!$J$5:$J$39,MATCH("monthly_churn",'01_ASSUMPTIONS'!$B$5:$B$39,0)))+INDEX('01_ASSUMPTIONS'!$J$5:$J$39,MATCH("starter_monthly_acquisition",'01_ASSUMPTIONS'!$B$5:$B$39,0))</f>
        <v/>
      </c>
      <c r="C13" s="10">
        <f>C12*(1-INDEX('01_ASSUMPTIONS'!$J$5:$J$39,MATCH("monthly_churn",'01_ASSUMPTIONS'!$B$5:$B$39,0)))+INDEX('01_ASSUMPTIONS'!$J$5:$J$39,MATCH("professional_monthly_acquisition",'01_ASSUMPTIONS'!$B$5:$B$39,0))</f>
        <v/>
      </c>
      <c r="D13" s="10">
        <f>D12*(1-INDEX('01_ASSUMPTIONS'!$J$5:$J$39,MATCH("monthly_churn",'01_ASSUMPTIONS'!$B$5:$B$39,0)))+INDEX('01_ASSUMPTIONS'!$J$5:$J$39,MATCH("enterprise_monthly_acquisition",'01_ASSUMPTIONS'!$B$5:$B$39,0))</f>
        <v/>
      </c>
      <c r="E13" s="10">
        <f>SUM(B13:D13)</f>
        <v/>
      </c>
      <c r="F13" s="10">
        <f>B13*INDEX('01_ASSUMPTIONS'!$J$5:$J$39,MATCH("starter_studies_per_customer",'01_ASSUMPTIONS'!$B$5:$B$39,0))</f>
        <v/>
      </c>
      <c r="G13" s="10">
        <f>C13*INDEX('01_ASSUMPTIONS'!$J$5:$J$39,MATCH("professional_studies_per_customer",'01_ASSUMPTIONS'!$B$5:$B$39,0))</f>
        <v/>
      </c>
      <c r="H13" s="10">
        <f>D13*INDEX('01_ASSUMPTIONS'!$J$5:$J$39,MATCH("enterprise_studies_per_customer",'01_ASSUMPTIONS'!$B$5:$B$39,0))</f>
        <v/>
      </c>
      <c r="I13" s="10">
        <f>SUM(F13:H13)</f>
        <v/>
      </c>
      <c r="J13" s="9">
        <f>B13*INDEX('01_ASSUMPTIONS'!$J$5:$J$39,MATCH("starter_fee",'01_ASSUMPTIONS'!$B$5:$B$39,0))+C13*INDEX('01_ASSUMPTIONS'!$J$5:$J$39,MATCH("professional_fee",'01_ASSUMPTIONS'!$B$5:$B$39,0))+D13*INDEX('01_ASSUMPTIONS'!$J$5:$J$39,MATCH("enterprise_fee",'01_ASSUMPTIONS'!$B$5:$B$39,0))</f>
        <v/>
      </c>
      <c r="K13" s="9">
        <f>MAX(F13-B13*INDEX('01_ASSUMPTIONS'!$J$5:$J$39,MATCH("starter_included_studies",'01_ASSUMPTIONS'!$B$5:$B$39,0)),0)*INDEX('01_ASSUMPTIONS'!$J$5:$J$39,MATCH("starter_overage_fee",'01_ASSUMPTIONS'!$B$5:$B$39,0))+MAX(G13-C13*INDEX('01_ASSUMPTIONS'!$J$5:$J$39,MATCH("professional_included_studies",'01_ASSUMPTIONS'!$B$5:$B$39,0)),0)*INDEX('01_ASSUMPTIONS'!$J$5:$J$39,MATCH("professional_overage_fee",'01_ASSUMPTIONS'!$B$5:$B$39,0))+MAX(H13-D13*INDEX('01_ASSUMPTIONS'!$J$5:$J$39,MATCH("enterprise_included_studies",'01_ASSUMPTIONS'!$B$5:$B$39,0)),0)*INDEX('01_ASSUMPTIONS'!$J$5:$J$39,MATCH("enterprise_overage_fee",'01_ASSUMPTIONS'!$B$5:$B$39,0))</f>
        <v/>
      </c>
      <c r="L13" s="9">
        <f>J13+K13</f>
        <v/>
      </c>
      <c r="M13" s="9">
        <f>I13*INDEX('01_ASSUMPTIONS'!$J$5:$J$39,MATCH("cloud_cost_per_study",'01_ASSUMPTIONS'!$B$5:$B$39,0))</f>
        <v/>
      </c>
      <c r="N13" s="9">
        <f>I13*INDEX('01_ASSUMPTIONS'!$J$5:$J$39,MATCH("storage_cost_per_study",'01_ASSUMPTIONS'!$B$5:$B$39,0))</f>
        <v/>
      </c>
      <c r="O13" s="9">
        <f>I13*INDEX('01_ASSUMPTIONS'!$J$5:$J$39,MATCH("ai_processing_cost_per_study",'01_ASSUMPTIONS'!$B$5:$B$39,0))</f>
        <v/>
      </c>
      <c r="P13" s="9">
        <f>E13*INDEX('01_ASSUMPTIONS'!$J$5:$J$39,MATCH("variable_support_per_customer",'01_ASSUMPTIONS'!$B$5:$B$39,0))</f>
        <v/>
      </c>
      <c r="Q13" s="9">
        <f>SUM(M13:P13)</f>
        <v/>
      </c>
      <c r="R13" s="9">
        <f>INDEX('01_ASSUMPTIONS'!$J$5:$J$39,MATCH("fixed_infra",'01_ASSUMPTIONS'!$B$5:$B$39,0))</f>
        <v/>
      </c>
      <c r="S13" s="9">
        <f>INDEX('01_ASSUMPTIONS'!$J$5:$J$39,MATCH("software_maintenance",'01_ASSUMPTIONS'!$B$5:$B$39,0))</f>
        <v/>
      </c>
      <c r="T13" s="9">
        <f>INDEX('01_ASSUMPTIONS'!$J$5:$J$39,MATCH("base_support",'01_ASSUMPTIONS'!$B$5:$B$39,0))</f>
        <v/>
      </c>
      <c r="U13" s="9">
        <f>INDEX('01_ASSUMPTIONS'!$J$5:$J$39,MATCH("admin",'01_ASSUMPTIONS'!$B$5:$B$39,0))</f>
        <v/>
      </c>
      <c r="V13" s="9">
        <f>INDEX('01_ASSUMPTIONS'!$J$5:$J$39,MATCH("commercial_marketing",'01_ASSUMPTIONS'!$B$5:$B$39,0))</f>
        <v/>
      </c>
      <c r="W13" s="9">
        <f>INDEX('01_ASSUMPTIONS'!$J$5:$J$39,MATCH("other_fixed",'01_ASSUMPTIONS'!$B$5:$B$39,0))</f>
        <v/>
      </c>
      <c r="X13" s="9">
        <f>SUM(R13:W13)</f>
        <v/>
      </c>
      <c r="Y13" s="9">
        <f>L13-Q13-X13</f>
        <v/>
      </c>
      <c r="Z13" s="9">
        <f>0</f>
        <v/>
      </c>
      <c r="AA13" s="9">
        <f>Y13-Z13</f>
        <v/>
      </c>
      <c r="AB13" s="8">
        <f>1/(1+'01_ASSUMPTIONS'!$E$2)^A13</f>
        <v/>
      </c>
      <c r="AC13" s="9">
        <f>AA13*AB13</f>
        <v/>
      </c>
      <c r="AD13" s="9">
        <f>AD12+AA13</f>
        <v/>
      </c>
      <c r="AE13">
        <f>IF(Y13&gt;=0,"Yes","No")</f>
        <v/>
      </c>
      <c r="AF13">
        <f>IF(AD13&gt;=0,"Yes","No")</f>
        <v/>
      </c>
    </row>
    <row r="14">
      <c r="A14">
        <f>13</f>
        <v/>
      </c>
      <c r="B14" s="10">
        <f>B13*(1-INDEX('01_ASSUMPTIONS'!$J$5:$J$39,MATCH("monthly_churn",'01_ASSUMPTIONS'!$B$5:$B$39,0)))+INDEX('01_ASSUMPTIONS'!$J$5:$J$39,MATCH("starter_monthly_acquisition",'01_ASSUMPTIONS'!$B$5:$B$39,0))</f>
        <v/>
      </c>
      <c r="C14" s="10">
        <f>C13*(1-INDEX('01_ASSUMPTIONS'!$J$5:$J$39,MATCH("monthly_churn",'01_ASSUMPTIONS'!$B$5:$B$39,0)))+INDEX('01_ASSUMPTIONS'!$J$5:$J$39,MATCH("professional_monthly_acquisition",'01_ASSUMPTIONS'!$B$5:$B$39,0))</f>
        <v/>
      </c>
      <c r="D14" s="10">
        <f>D13*(1-INDEX('01_ASSUMPTIONS'!$J$5:$J$39,MATCH("monthly_churn",'01_ASSUMPTIONS'!$B$5:$B$39,0)))+INDEX('01_ASSUMPTIONS'!$J$5:$J$39,MATCH("enterprise_monthly_acquisition",'01_ASSUMPTIONS'!$B$5:$B$39,0))</f>
        <v/>
      </c>
      <c r="E14" s="10">
        <f>SUM(B14:D14)</f>
        <v/>
      </c>
      <c r="F14" s="10">
        <f>B14*INDEX('01_ASSUMPTIONS'!$J$5:$J$39,MATCH("starter_studies_per_customer",'01_ASSUMPTIONS'!$B$5:$B$39,0))</f>
        <v/>
      </c>
      <c r="G14" s="10">
        <f>C14*INDEX('01_ASSUMPTIONS'!$J$5:$J$39,MATCH("professional_studies_per_customer",'01_ASSUMPTIONS'!$B$5:$B$39,0))</f>
        <v/>
      </c>
      <c r="H14" s="10">
        <f>D14*INDEX('01_ASSUMPTIONS'!$J$5:$J$39,MATCH("enterprise_studies_per_customer",'01_ASSUMPTIONS'!$B$5:$B$39,0))</f>
        <v/>
      </c>
      <c r="I14" s="10">
        <f>SUM(F14:H14)</f>
        <v/>
      </c>
      <c r="J14" s="9">
        <f>B14*INDEX('01_ASSUMPTIONS'!$J$5:$J$39,MATCH("starter_fee",'01_ASSUMPTIONS'!$B$5:$B$39,0))+C14*INDEX('01_ASSUMPTIONS'!$J$5:$J$39,MATCH("professional_fee",'01_ASSUMPTIONS'!$B$5:$B$39,0))+D14*INDEX('01_ASSUMPTIONS'!$J$5:$J$39,MATCH("enterprise_fee",'01_ASSUMPTIONS'!$B$5:$B$39,0))</f>
        <v/>
      </c>
      <c r="K14" s="9">
        <f>MAX(F14-B14*INDEX('01_ASSUMPTIONS'!$J$5:$J$39,MATCH("starter_included_studies",'01_ASSUMPTIONS'!$B$5:$B$39,0)),0)*INDEX('01_ASSUMPTIONS'!$J$5:$J$39,MATCH("starter_overage_fee",'01_ASSUMPTIONS'!$B$5:$B$39,0))+MAX(G14-C14*INDEX('01_ASSUMPTIONS'!$J$5:$J$39,MATCH("professional_included_studies",'01_ASSUMPTIONS'!$B$5:$B$39,0)),0)*INDEX('01_ASSUMPTIONS'!$J$5:$J$39,MATCH("professional_overage_fee",'01_ASSUMPTIONS'!$B$5:$B$39,0))+MAX(H14-D14*INDEX('01_ASSUMPTIONS'!$J$5:$J$39,MATCH("enterprise_included_studies",'01_ASSUMPTIONS'!$B$5:$B$39,0)),0)*INDEX('01_ASSUMPTIONS'!$J$5:$J$39,MATCH("enterprise_overage_fee",'01_ASSUMPTIONS'!$B$5:$B$39,0))</f>
        <v/>
      </c>
      <c r="L14" s="9">
        <f>J14+K14</f>
        <v/>
      </c>
      <c r="M14" s="9">
        <f>I14*INDEX('01_ASSUMPTIONS'!$J$5:$J$39,MATCH("cloud_cost_per_study",'01_ASSUMPTIONS'!$B$5:$B$39,0))</f>
        <v/>
      </c>
      <c r="N14" s="9">
        <f>I14*INDEX('01_ASSUMPTIONS'!$J$5:$J$39,MATCH("storage_cost_per_study",'01_ASSUMPTIONS'!$B$5:$B$39,0))</f>
        <v/>
      </c>
      <c r="O14" s="9">
        <f>I14*INDEX('01_ASSUMPTIONS'!$J$5:$J$39,MATCH("ai_processing_cost_per_study",'01_ASSUMPTIONS'!$B$5:$B$39,0))</f>
        <v/>
      </c>
      <c r="P14" s="9">
        <f>E14*INDEX('01_ASSUMPTIONS'!$J$5:$J$39,MATCH("variable_support_per_customer",'01_ASSUMPTIONS'!$B$5:$B$39,0))</f>
        <v/>
      </c>
      <c r="Q14" s="9">
        <f>SUM(M14:P14)</f>
        <v/>
      </c>
      <c r="R14" s="9">
        <f>INDEX('01_ASSUMPTIONS'!$J$5:$J$39,MATCH("fixed_infra",'01_ASSUMPTIONS'!$B$5:$B$39,0))</f>
        <v/>
      </c>
      <c r="S14" s="9">
        <f>INDEX('01_ASSUMPTIONS'!$J$5:$J$39,MATCH("software_maintenance",'01_ASSUMPTIONS'!$B$5:$B$39,0))</f>
        <v/>
      </c>
      <c r="T14" s="9">
        <f>INDEX('01_ASSUMPTIONS'!$J$5:$J$39,MATCH("base_support",'01_ASSUMPTIONS'!$B$5:$B$39,0))</f>
        <v/>
      </c>
      <c r="U14" s="9">
        <f>INDEX('01_ASSUMPTIONS'!$J$5:$J$39,MATCH("admin",'01_ASSUMPTIONS'!$B$5:$B$39,0))</f>
        <v/>
      </c>
      <c r="V14" s="9">
        <f>INDEX('01_ASSUMPTIONS'!$J$5:$J$39,MATCH("commercial_marketing",'01_ASSUMPTIONS'!$B$5:$B$39,0))</f>
        <v/>
      </c>
      <c r="W14" s="9">
        <f>INDEX('01_ASSUMPTIONS'!$J$5:$J$39,MATCH("other_fixed",'01_ASSUMPTIONS'!$B$5:$B$39,0))</f>
        <v/>
      </c>
      <c r="X14" s="9">
        <f>SUM(R14:W14)</f>
        <v/>
      </c>
      <c r="Y14" s="9">
        <f>L14-Q14-X14</f>
        <v/>
      </c>
      <c r="Z14" s="9">
        <f>0</f>
        <v/>
      </c>
      <c r="AA14" s="9">
        <f>Y14-Z14</f>
        <v/>
      </c>
      <c r="AB14" s="8">
        <f>1/(1+'01_ASSUMPTIONS'!$E$2)^A14</f>
        <v/>
      </c>
      <c r="AC14" s="9">
        <f>AA14*AB14</f>
        <v/>
      </c>
      <c r="AD14" s="9">
        <f>AD13+AA14</f>
        <v/>
      </c>
      <c r="AE14">
        <f>IF(Y14&gt;=0,"Yes","No")</f>
        <v/>
      </c>
      <c r="AF14">
        <f>IF(AD14&gt;=0,"Yes","No")</f>
        <v/>
      </c>
    </row>
    <row r="15">
      <c r="A15">
        <f>14</f>
        <v/>
      </c>
      <c r="B15" s="10">
        <f>B14*(1-INDEX('01_ASSUMPTIONS'!$J$5:$J$39,MATCH("monthly_churn",'01_ASSUMPTIONS'!$B$5:$B$39,0)))+INDEX('01_ASSUMPTIONS'!$J$5:$J$39,MATCH("starter_monthly_acquisition",'01_ASSUMPTIONS'!$B$5:$B$39,0))</f>
        <v/>
      </c>
      <c r="C15" s="10">
        <f>C14*(1-INDEX('01_ASSUMPTIONS'!$J$5:$J$39,MATCH("monthly_churn",'01_ASSUMPTIONS'!$B$5:$B$39,0)))+INDEX('01_ASSUMPTIONS'!$J$5:$J$39,MATCH("professional_monthly_acquisition",'01_ASSUMPTIONS'!$B$5:$B$39,0))</f>
        <v/>
      </c>
      <c r="D15" s="10">
        <f>D14*(1-INDEX('01_ASSUMPTIONS'!$J$5:$J$39,MATCH("monthly_churn",'01_ASSUMPTIONS'!$B$5:$B$39,0)))+INDEX('01_ASSUMPTIONS'!$J$5:$J$39,MATCH("enterprise_monthly_acquisition",'01_ASSUMPTIONS'!$B$5:$B$39,0))</f>
        <v/>
      </c>
      <c r="E15" s="10">
        <f>SUM(B15:D15)</f>
        <v/>
      </c>
      <c r="F15" s="10">
        <f>B15*INDEX('01_ASSUMPTIONS'!$J$5:$J$39,MATCH("starter_studies_per_customer",'01_ASSUMPTIONS'!$B$5:$B$39,0))</f>
        <v/>
      </c>
      <c r="G15" s="10">
        <f>C15*INDEX('01_ASSUMPTIONS'!$J$5:$J$39,MATCH("professional_studies_per_customer",'01_ASSUMPTIONS'!$B$5:$B$39,0))</f>
        <v/>
      </c>
      <c r="H15" s="10">
        <f>D15*INDEX('01_ASSUMPTIONS'!$J$5:$J$39,MATCH("enterprise_studies_per_customer",'01_ASSUMPTIONS'!$B$5:$B$39,0))</f>
        <v/>
      </c>
      <c r="I15" s="10">
        <f>SUM(F15:H15)</f>
        <v/>
      </c>
      <c r="J15" s="9">
        <f>B15*INDEX('01_ASSUMPTIONS'!$J$5:$J$39,MATCH("starter_fee",'01_ASSUMPTIONS'!$B$5:$B$39,0))+C15*INDEX('01_ASSUMPTIONS'!$J$5:$J$39,MATCH("professional_fee",'01_ASSUMPTIONS'!$B$5:$B$39,0))+D15*INDEX('01_ASSUMPTIONS'!$J$5:$J$39,MATCH("enterprise_fee",'01_ASSUMPTIONS'!$B$5:$B$39,0))</f>
        <v/>
      </c>
      <c r="K15" s="9">
        <f>MAX(F15-B15*INDEX('01_ASSUMPTIONS'!$J$5:$J$39,MATCH("starter_included_studies",'01_ASSUMPTIONS'!$B$5:$B$39,0)),0)*INDEX('01_ASSUMPTIONS'!$J$5:$J$39,MATCH("starter_overage_fee",'01_ASSUMPTIONS'!$B$5:$B$39,0))+MAX(G15-C15*INDEX('01_ASSUMPTIONS'!$J$5:$J$39,MATCH("professional_included_studies",'01_ASSUMPTIONS'!$B$5:$B$39,0)),0)*INDEX('01_ASSUMPTIONS'!$J$5:$J$39,MATCH("professional_overage_fee",'01_ASSUMPTIONS'!$B$5:$B$39,0))+MAX(H15-D15*INDEX('01_ASSUMPTIONS'!$J$5:$J$39,MATCH("enterprise_included_studies",'01_ASSUMPTIONS'!$B$5:$B$39,0)),0)*INDEX('01_ASSUMPTIONS'!$J$5:$J$39,MATCH("enterprise_overage_fee",'01_ASSUMPTIONS'!$B$5:$B$39,0))</f>
        <v/>
      </c>
      <c r="L15" s="9">
        <f>J15+K15</f>
        <v/>
      </c>
      <c r="M15" s="9">
        <f>I15*INDEX('01_ASSUMPTIONS'!$J$5:$J$39,MATCH("cloud_cost_per_study",'01_ASSUMPTIONS'!$B$5:$B$39,0))</f>
        <v/>
      </c>
      <c r="N15" s="9">
        <f>I15*INDEX('01_ASSUMPTIONS'!$J$5:$J$39,MATCH("storage_cost_per_study",'01_ASSUMPTIONS'!$B$5:$B$39,0))</f>
        <v/>
      </c>
      <c r="O15" s="9">
        <f>I15*INDEX('01_ASSUMPTIONS'!$J$5:$J$39,MATCH("ai_processing_cost_per_study",'01_ASSUMPTIONS'!$B$5:$B$39,0))</f>
        <v/>
      </c>
      <c r="P15" s="9">
        <f>E15*INDEX('01_ASSUMPTIONS'!$J$5:$J$39,MATCH("variable_support_per_customer",'01_ASSUMPTIONS'!$B$5:$B$39,0))</f>
        <v/>
      </c>
      <c r="Q15" s="9">
        <f>SUM(M15:P15)</f>
        <v/>
      </c>
      <c r="R15" s="9">
        <f>INDEX('01_ASSUMPTIONS'!$J$5:$J$39,MATCH("fixed_infra",'01_ASSUMPTIONS'!$B$5:$B$39,0))</f>
        <v/>
      </c>
      <c r="S15" s="9">
        <f>INDEX('01_ASSUMPTIONS'!$J$5:$J$39,MATCH("software_maintenance",'01_ASSUMPTIONS'!$B$5:$B$39,0))</f>
        <v/>
      </c>
      <c r="T15" s="9">
        <f>INDEX('01_ASSUMPTIONS'!$J$5:$J$39,MATCH("base_support",'01_ASSUMPTIONS'!$B$5:$B$39,0))</f>
        <v/>
      </c>
      <c r="U15" s="9">
        <f>INDEX('01_ASSUMPTIONS'!$J$5:$J$39,MATCH("admin",'01_ASSUMPTIONS'!$B$5:$B$39,0))</f>
        <v/>
      </c>
      <c r="V15" s="9">
        <f>INDEX('01_ASSUMPTIONS'!$J$5:$J$39,MATCH("commercial_marketing",'01_ASSUMPTIONS'!$B$5:$B$39,0))</f>
        <v/>
      </c>
      <c r="W15" s="9">
        <f>INDEX('01_ASSUMPTIONS'!$J$5:$J$39,MATCH("other_fixed",'01_ASSUMPTIONS'!$B$5:$B$39,0))</f>
        <v/>
      </c>
      <c r="X15" s="9">
        <f>SUM(R15:W15)</f>
        <v/>
      </c>
      <c r="Y15" s="9">
        <f>L15-Q15-X15</f>
        <v/>
      </c>
      <c r="Z15" s="9">
        <f>0</f>
        <v/>
      </c>
      <c r="AA15" s="9">
        <f>Y15-Z15</f>
        <v/>
      </c>
      <c r="AB15" s="8">
        <f>1/(1+'01_ASSUMPTIONS'!$E$2)^A15</f>
        <v/>
      </c>
      <c r="AC15" s="9">
        <f>AA15*AB15</f>
        <v/>
      </c>
      <c r="AD15" s="9">
        <f>AD14+AA15</f>
        <v/>
      </c>
      <c r="AE15">
        <f>IF(Y15&gt;=0,"Yes","No")</f>
        <v/>
      </c>
      <c r="AF15">
        <f>IF(AD15&gt;=0,"Yes","No")</f>
        <v/>
      </c>
    </row>
    <row r="16">
      <c r="A16">
        <f>15</f>
        <v/>
      </c>
      <c r="B16" s="10">
        <f>B15*(1-INDEX('01_ASSUMPTIONS'!$J$5:$J$39,MATCH("monthly_churn",'01_ASSUMPTIONS'!$B$5:$B$39,0)))+INDEX('01_ASSUMPTIONS'!$J$5:$J$39,MATCH("starter_monthly_acquisition",'01_ASSUMPTIONS'!$B$5:$B$39,0))</f>
        <v/>
      </c>
      <c r="C16" s="10">
        <f>C15*(1-INDEX('01_ASSUMPTIONS'!$J$5:$J$39,MATCH("monthly_churn",'01_ASSUMPTIONS'!$B$5:$B$39,0)))+INDEX('01_ASSUMPTIONS'!$J$5:$J$39,MATCH("professional_monthly_acquisition",'01_ASSUMPTIONS'!$B$5:$B$39,0))</f>
        <v/>
      </c>
      <c r="D16" s="10">
        <f>D15*(1-INDEX('01_ASSUMPTIONS'!$J$5:$J$39,MATCH("monthly_churn",'01_ASSUMPTIONS'!$B$5:$B$39,0)))+INDEX('01_ASSUMPTIONS'!$J$5:$J$39,MATCH("enterprise_monthly_acquisition",'01_ASSUMPTIONS'!$B$5:$B$39,0))</f>
        <v/>
      </c>
      <c r="E16" s="10">
        <f>SUM(B16:D16)</f>
        <v/>
      </c>
      <c r="F16" s="10">
        <f>B16*INDEX('01_ASSUMPTIONS'!$J$5:$J$39,MATCH("starter_studies_per_customer",'01_ASSUMPTIONS'!$B$5:$B$39,0))</f>
        <v/>
      </c>
      <c r="G16" s="10">
        <f>C16*INDEX('01_ASSUMPTIONS'!$J$5:$J$39,MATCH("professional_studies_per_customer",'01_ASSUMPTIONS'!$B$5:$B$39,0))</f>
        <v/>
      </c>
      <c r="H16" s="10">
        <f>D16*INDEX('01_ASSUMPTIONS'!$J$5:$J$39,MATCH("enterprise_studies_per_customer",'01_ASSUMPTIONS'!$B$5:$B$39,0))</f>
        <v/>
      </c>
      <c r="I16" s="10">
        <f>SUM(F16:H16)</f>
        <v/>
      </c>
      <c r="J16" s="9">
        <f>B16*INDEX('01_ASSUMPTIONS'!$J$5:$J$39,MATCH("starter_fee",'01_ASSUMPTIONS'!$B$5:$B$39,0))+C16*INDEX('01_ASSUMPTIONS'!$J$5:$J$39,MATCH("professional_fee",'01_ASSUMPTIONS'!$B$5:$B$39,0))+D16*INDEX('01_ASSUMPTIONS'!$J$5:$J$39,MATCH("enterprise_fee",'01_ASSUMPTIONS'!$B$5:$B$39,0))</f>
        <v/>
      </c>
      <c r="K16" s="9">
        <f>MAX(F16-B16*INDEX('01_ASSUMPTIONS'!$J$5:$J$39,MATCH("starter_included_studies",'01_ASSUMPTIONS'!$B$5:$B$39,0)),0)*INDEX('01_ASSUMPTIONS'!$J$5:$J$39,MATCH("starter_overage_fee",'01_ASSUMPTIONS'!$B$5:$B$39,0))+MAX(G16-C16*INDEX('01_ASSUMPTIONS'!$J$5:$J$39,MATCH("professional_included_studies",'01_ASSUMPTIONS'!$B$5:$B$39,0)),0)*INDEX('01_ASSUMPTIONS'!$J$5:$J$39,MATCH("professional_overage_fee",'01_ASSUMPTIONS'!$B$5:$B$39,0))+MAX(H16-D16*INDEX('01_ASSUMPTIONS'!$J$5:$J$39,MATCH("enterprise_included_studies",'01_ASSUMPTIONS'!$B$5:$B$39,0)),0)*INDEX('01_ASSUMPTIONS'!$J$5:$J$39,MATCH("enterprise_overage_fee",'01_ASSUMPTIONS'!$B$5:$B$39,0))</f>
        <v/>
      </c>
      <c r="L16" s="9">
        <f>J16+K16</f>
        <v/>
      </c>
      <c r="M16" s="9">
        <f>I16*INDEX('01_ASSUMPTIONS'!$J$5:$J$39,MATCH("cloud_cost_per_study",'01_ASSUMPTIONS'!$B$5:$B$39,0))</f>
        <v/>
      </c>
      <c r="N16" s="9">
        <f>I16*INDEX('01_ASSUMPTIONS'!$J$5:$J$39,MATCH("storage_cost_per_study",'01_ASSUMPTIONS'!$B$5:$B$39,0))</f>
        <v/>
      </c>
      <c r="O16" s="9">
        <f>I16*INDEX('01_ASSUMPTIONS'!$J$5:$J$39,MATCH("ai_processing_cost_per_study",'01_ASSUMPTIONS'!$B$5:$B$39,0))</f>
        <v/>
      </c>
      <c r="P16" s="9">
        <f>E16*INDEX('01_ASSUMPTIONS'!$J$5:$J$39,MATCH("variable_support_per_customer",'01_ASSUMPTIONS'!$B$5:$B$39,0))</f>
        <v/>
      </c>
      <c r="Q16" s="9">
        <f>SUM(M16:P16)</f>
        <v/>
      </c>
      <c r="R16" s="9">
        <f>INDEX('01_ASSUMPTIONS'!$J$5:$J$39,MATCH("fixed_infra",'01_ASSUMPTIONS'!$B$5:$B$39,0))</f>
        <v/>
      </c>
      <c r="S16" s="9">
        <f>INDEX('01_ASSUMPTIONS'!$J$5:$J$39,MATCH("software_maintenance",'01_ASSUMPTIONS'!$B$5:$B$39,0))</f>
        <v/>
      </c>
      <c r="T16" s="9">
        <f>INDEX('01_ASSUMPTIONS'!$J$5:$J$39,MATCH("base_support",'01_ASSUMPTIONS'!$B$5:$B$39,0))</f>
        <v/>
      </c>
      <c r="U16" s="9">
        <f>INDEX('01_ASSUMPTIONS'!$J$5:$J$39,MATCH("admin",'01_ASSUMPTIONS'!$B$5:$B$39,0))</f>
        <v/>
      </c>
      <c r="V16" s="9">
        <f>INDEX('01_ASSUMPTIONS'!$J$5:$J$39,MATCH("commercial_marketing",'01_ASSUMPTIONS'!$B$5:$B$39,0))</f>
        <v/>
      </c>
      <c r="W16" s="9">
        <f>INDEX('01_ASSUMPTIONS'!$J$5:$J$39,MATCH("other_fixed",'01_ASSUMPTIONS'!$B$5:$B$39,0))</f>
        <v/>
      </c>
      <c r="X16" s="9">
        <f>SUM(R16:W16)</f>
        <v/>
      </c>
      <c r="Y16" s="9">
        <f>L16-Q16-X16</f>
        <v/>
      </c>
      <c r="Z16" s="9">
        <f>0</f>
        <v/>
      </c>
      <c r="AA16" s="9">
        <f>Y16-Z16</f>
        <v/>
      </c>
      <c r="AB16" s="8">
        <f>1/(1+'01_ASSUMPTIONS'!$E$2)^A16</f>
        <v/>
      </c>
      <c r="AC16" s="9">
        <f>AA16*AB16</f>
        <v/>
      </c>
      <c r="AD16" s="9">
        <f>AD15+AA16</f>
        <v/>
      </c>
      <c r="AE16">
        <f>IF(Y16&gt;=0,"Yes","No")</f>
        <v/>
      </c>
      <c r="AF16">
        <f>IF(AD16&gt;=0,"Yes","No")</f>
        <v/>
      </c>
    </row>
    <row r="17">
      <c r="A17">
        <f>16</f>
        <v/>
      </c>
      <c r="B17" s="10">
        <f>B16*(1-INDEX('01_ASSUMPTIONS'!$J$5:$J$39,MATCH("monthly_churn",'01_ASSUMPTIONS'!$B$5:$B$39,0)))+INDEX('01_ASSUMPTIONS'!$J$5:$J$39,MATCH("starter_monthly_acquisition",'01_ASSUMPTIONS'!$B$5:$B$39,0))</f>
        <v/>
      </c>
      <c r="C17" s="10">
        <f>C16*(1-INDEX('01_ASSUMPTIONS'!$J$5:$J$39,MATCH("monthly_churn",'01_ASSUMPTIONS'!$B$5:$B$39,0)))+INDEX('01_ASSUMPTIONS'!$J$5:$J$39,MATCH("professional_monthly_acquisition",'01_ASSUMPTIONS'!$B$5:$B$39,0))</f>
        <v/>
      </c>
      <c r="D17" s="10">
        <f>D16*(1-INDEX('01_ASSUMPTIONS'!$J$5:$J$39,MATCH("monthly_churn",'01_ASSUMPTIONS'!$B$5:$B$39,0)))+INDEX('01_ASSUMPTIONS'!$J$5:$J$39,MATCH("enterprise_monthly_acquisition",'01_ASSUMPTIONS'!$B$5:$B$39,0))</f>
        <v/>
      </c>
      <c r="E17" s="10">
        <f>SUM(B17:D17)</f>
        <v/>
      </c>
      <c r="F17" s="10">
        <f>B17*INDEX('01_ASSUMPTIONS'!$J$5:$J$39,MATCH("starter_studies_per_customer",'01_ASSUMPTIONS'!$B$5:$B$39,0))</f>
        <v/>
      </c>
      <c r="G17" s="10">
        <f>C17*INDEX('01_ASSUMPTIONS'!$J$5:$J$39,MATCH("professional_studies_per_customer",'01_ASSUMPTIONS'!$B$5:$B$39,0))</f>
        <v/>
      </c>
      <c r="H17" s="10">
        <f>D17*INDEX('01_ASSUMPTIONS'!$J$5:$J$39,MATCH("enterprise_studies_per_customer",'01_ASSUMPTIONS'!$B$5:$B$39,0))</f>
        <v/>
      </c>
      <c r="I17" s="10">
        <f>SUM(F17:H17)</f>
        <v/>
      </c>
      <c r="J17" s="9">
        <f>B17*INDEX('01_ASSUMPTIONS'!$J$5:$J$39,MATCH("starter_fee",'01_ASSUMPTIONS'!$B$5:$B$39,0))+C17*INDEX('01_ASSUMPTIONS'!$J$5:$J$39,MATCH("professional_fee",'01_ASSUMPTIONS'!$B$5:$B$39,0))+D17*INDEX('01_ASSUMPTIONS'!$J$5:$J$39,MATCH("enterprise_fee",'01_ASSUMPTIONS'!$B$5:$B$39,0))</f>
        <v/>
      </c>
      <c r="K17" s="9">
        <f>MAX(F17-B17*INDEX('01_ASSUMPTIONS'!$J$5:$J$39,MATCH("starter_included_studies",'01_ASSUMPTIONS'!$B$5:$B$39,0)),0)*INDEX('01_ASSUMPTIONS'!$J$5:$J$39,MATCH("starter_overage_fee",'01_ASSUMPTIONS'!$B$5:$B$39,0))+MAX(G17-C17*INDEX('01_ASSUMPTIONS'!$J$5:$J$39,MATCH("professional_included_studies",'01_ASSUMPTIONS'!$B$5:$B$39,0)),0)*INDEX('01_ASSUMPTIONS'!$J$5:$J$39,MATCH("professional_overage_fee",'01_ASSUMPTIONS'!$B$5:$B$39,0))+MAX(H17-D17*INDEX('01_ASSUMPTIONS'!$J$5:$J$39,MATCH("enterprise_included_studies",'01_ASSUMPTIONS'!$B$5:$B$39,0)),0)*INDEX('01_ASSUMPTIONS'!$J$5:$J$39,MATCH("enterprise_overage_fee",'01_ASSUMPTIONS'!$B$5:$B$39,0))</f>
        <v/>
      </c>
      <c r="L17" s="9">
        <f>J17+K17</f>
        <v/>
      </c>
      <c r="M17" s="9">
        <f>I17*INDEX('01_ASSUMPTIONS'!$J$5:$J$39,MATCH("cloud_cost_per_study",'01_ASSUMPTIONS'!$B$5:$B$39,0))</f>
        <v/>
      </c>
      <c r="N17" s="9">
        <f>I17*INDEX('01_ASSUMPTIONS'!$J$5:$J$39,MATCH("storage_cost_per_study",'01_ASSUMPTIONS'!$B$5:$B$39,0))</f>
        <v/>
      </c>
      <c r="O17" s="9">
        <f>I17*INDEX('01_ASSUMPTIONS'!$J$5:$J$39,MATCH("ai_processing_cost_per_study",'01_ASSUMPTIONS'!$B$5:$B$39,0))</f>
        <v/>
      </c>
      <c r="P17" s="9">
        <f>E17*INDEX('01_ASSUMPTIONS'!$J$5:$J$39,MATCH("variable_support_per_customer",'01_ASSUMPTIONS'!$B$5:$B$39,0))</f>
        <v/>
      </c>
      <c r="Q17" s="9">
        <f>SUM(M17:P17)</f>
        <v/>
      </c>
      <c r="R17" s="9">
        <f>INDEX('01_ASSUMPTIONS'!$J$5:$J$39,MATCH("fixed_infra",'01_ASSUMPTIONS'!$B$5:$B$39,0))</f>
        <v/>
      </c>
      <c r="S17" s="9">
        <f>INDEX('01_ASSUMPTIONS'!$J$5:$J$39,MATCH("software_maintenance",'01_ASSUMPTIONS'!$B$5:$B$39,0))</f>
        <v/>
      </c>
      <c r="T17" s="9">
        <f>INDEX('01_ASSUMPTIONS'!$J$5:$J$39,MATCH("base_support",'01_ASSUMPTIONS'!$B$5:$B$39,0))</f>
        <v/>
      </c>
      <c r="U17" s="9">
        <f>INDEX('01_ASSUMPTIONS'!$J$5:$J$39,MATCH("admin",'01_ASSUMPTIONS'!$B$5:$B$39,0))</f>
        <v/>
      </c>
      <c r="V17" s="9">
        <f>INDEX('01_ASSUMPTIONS'!$J$5:$J$39,MATCH("commercial_marketing",'01_ASSUMPTIONS'!$B$5:$B$39,0))</f>
        <v/>
      </c>
      <c r="W17" s="9">
        <f>INDEX('01_ASSUMPTIONS'!$J$5:$J$39,MATCH("other_fixed",'01_ASSUMPTIONS'!$B$5:$B$39,0))</f>
        <v/>
      </c>
      <c r="X17" s="9">
        <f>SUM(R17:W17)</f>
        <v/>
      </c>
      <c r="Y17" s="9">
        <f>L17-Q17-X17</f>
        <v/>
      </c>
      <c r="Z17" s="9">
        <f>0</f>
        <v/>
      </c>
      <c r="AA17" s="9">
        <f>Y17-Z17</f>
        <v/>
      </c>
      <c r="AB17" s="8">
        <f>1/(1+'01_ASSUMPTIONS'!$E$2)^A17</f>
        <v/>
      </c>
      <c r="AC17" s="9">
        <f>AA17*AB17</f>
        <v/>
      </c>
      <c r="AD17" s="9">
        <f>AD16+AA17</f>
        <v/>
      </c>
      <c r="AE17">
        <f>IF(Y17&gt;=0,"Yes","No")</f>
        <v/>
      </c>
      <c r="AF17">
        <f>IF(AD17&gt;=0,"Yes","No")</f>
        <v/>
      </c>
    </row>
    <row r="18">
      <c r="A18">
        <f>17</f>
        <v/>
      </c>
      <c r="B18" s="10">
        <f>B17*(1-INDEX('01_ASSUMPTIONS'!$J$5:$J$39,MATCH("monthly_churn",'01_ASSUMPTIONS'!$B$5:$B$39,0)))+INDEX('01_ASSUMPTIONS'!$J$5:$J$39,MATCH("starter_monthly_acquisition",'01_ASSUMPTIONS'!$B$5:$B$39,0))</f>
        <v/>
      </c>
      <c r="C18" s="10">
        <f>C17*(1-INDEX('01_ASSUMPTIONS'!$J$5:$J$39,MATCH("monthly_churn",'01_ASSUMPTIONS'!$B$5:$B$39,0)))+INDEX('01_ASSUMPTIONS'!$J$5:$J$39,MATCH("professional_monthly_acquisition",'01_ASSUMPTIONS'!$B$5:$B$39,0))</f>
        <v/>
      </c>
      <c r="D18" s="10">
        <f>D17*(1-INDEX('01_ASSUMPTIONS'!$J$5:$J$39,MATCH("monthly_churn",'01_ASSUMPTIONS'!$B$5:$B$39,0)))+INDEX('01_ASSUMPTIONS'!$J$5:$J$39,MATCH("enterprise_monthly_acquisition",'01_ASSUMPTIONS'!$B$5:$B$39,0))</f>
        <v/>
      </c>
      <c r="E18" s="10">
        <f>SUM(B18:D18)</f>
        <v/>
      </c>
      <c r="F18" s="10">
        <f>B18*INDEX('01_ASSUMPTIONS'!$J$5:$J$39,MATCH("starter_studies_per_customer",'01_ASSUMPTIONS'!$B$5:$B$39,0))</f>
        <v/>
      </c>
      <c r="G18" s="10">
        <f>C18*INDEX('01_ASSUMPTIONS'!$J$5:$J$39,MATCH("professional_studies_per_customer",'01_ASSUMPTIONS'!$B$5:$B$39,0))</f>
        <v/>
      </c>
      <c r="H18" s="10">
        <f>D18*INDEX('01_ASSUMPTIONS'!$J$5:$J$39,MATCH("enterprise_studies_per_customer",'01_ASSUMPTIONS'!$B$5:$B$39,0))</f>
        <v/>
      </c>
      <c r="I18" s="10">
        <f>SUM(F18:H18)</f>
        <v/>
      </c>
      <c r="J18" s="9">
        <f>B18*INDEX('01_ASSUMPTIONS'!$J$5:$J$39,MATCH("starter_fee",'01_ASSUMPTIONS'!$B$5:$B$39,0))+C18*INDEX('01_ASSUMPTIONS'!$J$5:$J$39,MATCH("professional_fee",'01_ASSUMPTIONS'!$B$5:$B$39,0))+D18*INDEX('01_ASSUMPTIONS'!$J$5:$J$39,MATCH("enterprise_fee",'01_ASSUMPTIONS'!$B$5:$B$39,0))</f>
        <v/>
      </c>
      <c r="K18" s="9">
        <f>MAX(F18-B18*INDEX('01_ASSUMPTIONS'!$J$5:$J$39,MATCH("starter_included_studies",'01_ASSUMPTIONS'!$B$5:$B$39,0)),0)*INDEX('01_ASSUMPTIONS'!$J$5:$J$39,MATCH("starter_overage_fee",'01_ASSUMPTIONS'!$B$5:$B$39,0))+MAX(G18-C18*INDEX('01_ASSUMPTIONS'!$J$5:$J$39,MATCH("professional_included_studies",'01_ASSUMPTIONS'!$B$5:$B$39,0)),0)*INDEX('01_ASSUMPTIONS'!$J$5:$J$39,MATCH("professional_overage_fee",'01_ASSUMPTIONS'!$B$5:$B$39,0))+MAX(H18-D18*INDEX('01_ASSUMPTIONS'!$J$5:$J$39,MATCH("enterprise_included_studies",'01_ASSUMPTIONS'!$B$5:$B$39,0)),0)*INDEX('01_ASSUMPTIONS'!$J$5:$J$39,MATCH("enterprise_overage_fee",'01_ASSUMPTIONS'!$B$5:$B$39,0))</f>
        <v/>
      </c>
      <c r="L18" s="9">
        <f>J18+K18</f>
        <v/>
      </c>
      <c r="M18" s="9">
        <f>I18*INDEX('01_ASSUMPTIONS'!$J$5:$J$39,MATCH("cloud_cost_per_study",'01_ASSUMPTIONS'!$B$5:$B$39,0))</f>
        <v/>
      </c>
      <c r="N18" s="9">
        <f>I18*INDEX('01_ASSUMPTIONS'!$J$5:$J$39,MATCH("storage_cost_per_study",'01_ASSUMPTIONS'!$B$5:$B$39,0))</f>
        <v/>
      </c>
      <c r="O18" s="9">
        <f>I18*INDEX('01_ASSUMPTIONS'!$J$5:$J$39,MATCH("ai_processing_cost_per_study",'01_ASSUMPTIONS'!$B$5:$B$39,0))</f>
        <v/>
      </c>
      <c r="P18" s="9">
        <f>E18*INDEX('01_ASSUMPTIONS'!$J$5:$J$39,MATCH("variable_support_per_customer",'01_ASSUMPTIONS'!$B$5:$B$39,0))</f>
        <v/>
      </c>
      <c r="Q18" s="9">
        <f>SUM(M18:P18)</f>
        <v/>
      </c>
      <c r="R18" s="9">
        <f>INDEX('01_ASSUMPTIONS'!$J$5:$J$39,MATCH("fixed_infra",'01_ASSUMPTIONS'!$B$5:$B$39,0))</f>
        <v/>
      </c>
      <c r="S18" s="9">
        <f>INDEX('01_ASSUMPTIONS'!$J$5:$J$39,MATCH("software_maintenance",'01_ASSUMPTIONS'!$B$5:$B$39,0))</f>
        <v/>
      </c>
      <c r="T18" s="9">
        <f>INDEX('01_ASSUMPTIONS'!$J$5:$J$39,MATCH("base_support",'01_ASSUMPTIONS'!$B$5:$B$39,0))</f>
        <v/>
      </c>
      <c r="U18" s="9">
        <f>INDEX('01_ASSUMPTIONS'!$J$5:$J$39,MATCH("admin",'01_ASSUMPTIONS'!$B$5:$B$39,0))</f>
        <v/>
      </c>
      <c r="V18" s="9">
        <f>INDEX('01_ASSUMPTIONS'!$J$5:$J$39,MATCH("commercial_marketing",'01_ASSUMPTIONS'!$B$5:$B$39,0))</f>
        <v/>
      </c>
      <c r="W18" s="9">
        <f>INDEX('01_ASSUMPTIONS'!$J$5:$J$39,MATCH("other_fixed",'01_ASSUMPTIONS'!$B$5:$B$39,0))</f>
        <v/>
      </c>
      <c r="X18" s="9">
        <f>SUM(R18:W18)</f>
        <v/>
      </c>
      <c r="Y18" s="9">
        <f>L18-Q18-X18</f>
        <v/>
      </c>
      <c r="Z18" s="9">
        <f>0</f>
        <v/>
      </c>
      <c r="AA18" s="9">
        <f>Y18-Z18</f>
        <v/>
      </c>
      <c r="AB18" s="8">
        <f>1/(1+'01_ASSUMPTIONS'!$E$2)^A18</f>
        <v/>
      </c>
      <c r="AC18" s="9">
        <f>AA18*AB18</f>
        <v/>
      </c>
      <c r="AD18" s="9">
        <f>AD17+AA18</f>
        <v/>
      </c>
      <c r="AE18">
        <f>IF(Y18&gt;=0,"Yes","No")</f>
        <v/>
      </c>
      <c r="AF18">
        <f>IF(AD18&gt;=0,"Yes","No")</f>
        <v/>
      </c>
    </row>
    <row r="19">
      <c r="A19">
        <f>18</f>
        <v/>
      </c>
      <c r="B19" s="10">
        <f>B18*(1-INDEX('01_ASSUMPTIONS'!$J$5:$J$39,MATCH("monthly_churn",'01_ASSUMPTIONS'!$B$5:$B$39,0)))+INDEX('01_ASSUMPTIONS'!$J$5:$J$39,MATCH("starter_monthly_acquisition",'01_ASSUMPTIONS'!$B$5:$B$39,0))</f>
        <v/>
      </c>
      <c r="C19" s="10">
        <f>C18*(1-INDEX('01_ASSUMPTIONS'!$J$5:$J$39,MATCH("monthly_churn",'01_ASSUMPTIONS'!$B$5:$B$39,0)))+INDEX('01_ASSUMPTIONS'!$J$5:$J$39,MATCH("professional_monthly_acquisition",'01_ASSUMPTIONS'!$B$5:$B$39,0))</f>
        <v/>
      </c>
      <c r="D19" s="10">
        <f>D18*(1-INDEX('01_ASSUMPTIONS'!$J$5:$J$39,MATCH("monthly_churn",'01_ASSUMPTIONS'!$B$5:$B$39,0)))+INDEX('01_ASSUMPTIONS'!$J$5:$J$39,MATCH("enterprise_monthly_acquisition",'01_ASSUMPTIONS'!$B$5:$B$39,0))</f>
        <v/>
      </c>
      <c r="E19" s="10">
        <f>SUM(B19:D19)</f>
        <v/>
      </c>
      <c r="F19" s="10">
        <f>B19*INDEX('01_ASSUMPTIONS'!$J$5:$J$39,MATCH("starter_studies_per_customer",'01_ASSUMPTIONS'!$B$5:$B$39,0))</f>
        <v/>
      </c>
      <c r="G19" s="10">
        <f>C19*INDEX('01_ASSUMPTIONS'!$J$5:$J$39,MATCH("professional_studies_per_customer",'01_ASSUMPTIONS'!$B$5:$B$39,0))</f>
        <v/>
      </c>
      <c r="H19" s="10">
        <f>D19*INDEX('01_ASSUMPTIONS'!$J$5:$J$39,MATCH("enterprise_studies_per_customer",'01_ASSUMPTIONS'!$B$5:$B$39,0))</f>
        <v/>
      </c>
      <c r="I19" s="10">
        <f>SUM(F19:H19)</f>
        <v/>
      </c>
      <c r="J19" s="9">
        <f>B19*INDEX('01_ASSUMPTIONS'!$J$5:$J$39,MATCH("starter_fee",'01_ASSUMPTIONS'!$B$5:$B$39,0))+C19*INDEX('01_ASSUMPTIONS'!$J$5:$J$39,MATCH("professional_fee",'01_ASSUMPTIONS'!$B$5:$B$39,0))+D19*INDEX('01_ASSUMPTIONS'!$J$5:$J$39,MATCH("enterprise_fee",'01_ASSUMPTIONS'!$B$5:$B$39,0))</f>
        <v/>
      </c>
      <c r="K19" s="9">
        <f>MAX(F19-B19*INDEX('01_ASSUMPTIONS'!$J$5:$J$39,MATCH("starter_included_studies",'01_ASSUMPTIONS'!$B$5:$B$39,0)),0)*INDEX('01_ASSUMPTIONS'!$J$5:$J$39,MATCH("starter_overage_fee",'01_ASSUMPTIONS'!$B$5:$B$39,0))+MAX(G19-C19*INDEX('01_ASSUMPTIONS'!$J$5:$J$39,MATCH("professional_included_studies",'01_ASSUMPTIONS'!$B$5:$B$39,0)),0)*INDEX('01_ASSUMPTIONS'!$J$5:$J$39,MATCH("professional_overage_fee",'01_ASSUMPTIONS'!$B$5:$B$39,0))+MAX(H19-D19*INDEX('01_ASSUMPTIONS'!$J$5:$J$39,MATCH("enterprise_included_studies",'01_ASSUMPTIONS'!$B$5:$B$39,0)),0)*INDEX('01_ASSUMPTIONS'!$J$5:$J$39,MATCH("enterprise_overage_fee",'01_ASSUMPTIONS'!$B$5:$B$39,0))</f>
        <v/>
      </c>
      <c r="L19" s="9">
        <f>J19+K19</f>
        <v/>
      </c>
      <c r="M19" s="9">
        <f>I19*INDEX('01_ASSUMPTIONS'!$J$5:$J$39,MATCH("cloud_cost_per_study",'01_ASSUMPTIONS'!$B$5:$B$39,0))</f>
        <v/>
      </c>
      <c r="N19" s="9">
        <f>I19*INDEX('01_ASSUMPTIONS'!$J$5:$J$39,MATCH("storage_cost_per_study",'01_ASSUMPTIONS'!$B$5:$B$39,0))</f>
        <v/>
      </c>
      <c r="O19" s="9">
        <f>I19*INDEX('01_ASSUMPTIONS'!$J$5:$J$39,MATCH("ai_processing_cost_per_study",'01_ASSUMPTIONS'!$B$5:$B$39,0))</f>
        <v/>
      </c>
      <c r="P19" s="9">
        <f>E19*INDEX('01_ASSUMPTIONS'!$J$5:$J$39,MATCH("variable_support_per_customer",'01_ASSUMPTIONS'!$B$5:$B$39,0))</f>
        <v/>
      </c>
      <c r="Q19" s="9">
        <f>SUM(M19:P19)</f>
        <v/>
      </c>
      <c r="R19" s="9">
        <f>INDEX('01_ASSUMPTIONS'!$J$5:$J$39,MATCH("fixed_infra",'01_ASSUMPTIONS'!$B$5:$B$39,0))</f>
        <v/>
      </c>
      <c r="S19" s="9">
        <f>INDEX('01_ASSUMPTIONS'!$J$5:$J$39,MATCH("software_maintenance",'01_ASSUMPTIONS'!$B$5:$B$39,0))</f>
        <v/>
      </c>
      <c r="T19" s="9">
        <f>INDEX('01_ASSUMPTIONS'!$J$5:$J$39,MATCH("base_support",'01_ASSUMPTIONS'!$B$5:$B$39,0))</f>
        <v/>
      </c>
      <c r="U19" s="9">
        <f>INDEX('01_ASSUMPTIONS'!$J$5:$J$39,MATCH("admin",'01_ASSUMPTIONS'!$B$5:$B$39,0))</f>
        <v/>
      </c>
      <c r="V19" s="9">
        <f>INDEX('01_ASSUMPTIONS'!$J$5:$J$39,MATCH("commercial_marketing",'01_ASSUMPTIONS'!$B$5:$B$39,0))</f>
        <v/>
      </c>
      <c r="W19" s="9">
        <f>INDEX('01_ASSUMPTIONS'!$J$5:$J$39,MATCH("other_fixed",'01_ASSUMPTIONS'!$B$5:$B$39,0))</f>
        <v/>
      </c>
      <c r="X19" s="9">
        <f>SUM(R19:W19)</f>
        <v/>
      </c>
      <c r="Y19" s="9">
        <f>L19-Q19-X19</f>
        <v/>
      </c>
      <c r="Z19" s="9">
        <f>0</f>
        <v/>
      </c>
      <c r="AA19" s="9">
        <f>Y19-Z19</f>
        <v/>
      </c>
      <c r="AB19" s="8">
        <f>1/(1+'01_ASSUMPTIONS'!$E$2)^A19</f>
        <v/>
      </c>
      <c r="AC19" s="9">
        <f>AA19*AB19</f>
        <v/>
      </c>
      <c r="AD19" s="9">
        <f>AD18+AA19</f>
        <v/>
      </c>
      <c r="AE19">
        <f>IF(Y19&gt;=0,"Yes","No")</f>
        <v/>
      </c>
      <c r="AF19">
        <f>IF(AD19&gt;=0,"Yes","No")</f>
        <v/>
      </c>
    </row>
    <row r="20">
      <c r="A20">
        <f>19</f>
        <v/>
      </c>
      <c r="B20" s="10">
        <f>B19*(1-INDEX('01_ASSUMPTIONS'!$J$5:$J$39,MATCH("monthly_churn",'01_ASSUMPTIONS'!$B$5:$B$39,0)))+INDEX('01_ASSUMPTIONS'!$J$5:$J$39,MATCH("starter_monthly_acquisition",'01_ASSUMPTIONS'!$B$5:$B$39,0))</f>
        <v/>
      </c>
      <c r="C20" s="10">
        <f>C19*(1-INDEX('01_ASSUMPTIONS'!$J$5:$J$39,MATCH("monthly_churn",'01_ASSUMPTIONS'!$B$5:$B$39,0)))+INDEX('01_ASSUMPTIONS'!$J$5:$J$39,MATCH("professional_monthly_acquisition",'01_ASSUMPTIONS'!$B$5:$B$39,0))</f>
        <v/>
      </c>
      <c r="D20" s="10">
        <f>D19*(1-INDEX('01_ASSUMPTIONS'!$J$5:$J$39,MATCH("monthly_churn",'01_ASSUMPTIONS'!$B$5:$B$39,0)))+INDEX('01_ASSUMPTIONS'!$J$5:$J$39,MATCH("enterprise_monthly_acquisition",'01_ASSUMPTIONS'!$B$5:$B$39,0))</f>
        <v/>
      </c>
      <c r="E20" s="10">
        <f>SUM(B20:D20)</f>
        <v/>
      </c>
      <c r="F20" s="10">
        <f>B20*INDEX('01_ASSUMPTIONS'!$J$5:$J$39,MATCH("starter_studies_per_customer",'01_ASSUMPTIONS'!$B$5:$B$39,0))</f>
        <v/>
      </c>
      <c r="G20" s="10">
        <f>C20*INDEX('01_ASSUMPTIONS'!$J$5:$J$39,MATCH("professional_studies_per_customer",'01_ASSUMPTIONS'!$B$5:$B$39,0))</f>
        <v/>
      </c>
      <c r="H20" s="10">
        <f>D20*INDEX('01_ASSUMPTIONS'!$J$5:$J$39,MATCH("enterprise_studies_per_customer",'01_ASSUMPTIONS'!$B$5:$B$39,0))</f>
        <v/>
      </c>
      <c r="I20" s="10">
        <f>SUM(F20:H20)</f>
        <v/>
      </c>
      <c r="J20" s="9">
        <f>B20*INDEX('01_ASSUMPTIONS'!$J$5:$J$39,MATCH("starter_fee",'01_ASSUMPTIONS'!$B$5:$B$39,0))+C20*INDEX('01_ASSUMPTIONS'!$J$5:$J$39,MATCH("professional_fee",'01_ASSUMPTIONS'!$B$5:$B$39,0))+D20*INDEX('01_ASSUMPTIONS'!$J$5:$J$39,MATCH("enterprise_fee",'01_ASSUMPTIONS'!$B$5:$B$39,0))</f>
        <v/>
      </c>
      <c r="K20" s="9">
        <f>MAX(F20-B20*INDEX('01_ASSUMPTIONS'!$J$5:$J$39,MATCH("starter_included_studies",'01_ASSUMPTIONS'!$B$5:$B$39,0)),0)*INDEX('01_ASSUMPTIONS'!$J$5:$J$39,MATCH("starter_overage_fee",'01_ASSUMPTIONS'!$B$5:$B$39,0))+MAX(G20-C20*INDEX('01_ASSUMPTIONS'!$J$5:$J$39,MATCH("professional_included_studies",'01_ASSUMPTIONS'!$B$5:$B$39,0)),0)*INDEX('01_ASSUMPTIONS'!$J$5:$J$39,MATCH("professional_overage_fee",'01_ASSUMPTIONS'!$B$5:$B$39,0))+MAX(H20-D20*INDEX('01_ASSUMPTIONS'!$J$5:$J$39,MATCH("enterprise_included_studies",'01_ASSUMPTIONS'!$B$5:$B$39,0)),0)*INDEX('01_ASSUMPTIONS'!$J$5:$J$39,MATCH("enterprise_overage_fee",'01_ASSUMPTIONS'!$B$5:$B$39,0))</f>
        <v/>
      </c>
      <c r="L20" s="9">
        <f>J20+K20</f>
        <v/>
      </c>
      <c r="M20" s="9">
        <f>I20*INDEX('01_ASSUMPTIONS'!$J$5:$J$39,MATCH("cloud_cost_per_study",'01_ASSUMPTIONS'!$B$5:$B$39,0))</f>
        <v/>
      </c>
      <c r="N20" s="9">
        <f>I20*INDEX('01_ASSUMPTIONS'!$J$5:$J$39,MATCH("storage_cost_per_study",'01_ASSUMPTIONS'!$B$5:$B$39,0))</f>
        <v/>
      </c>
      <c r="O20" s="9">
        <f>I20*INDEX('01_ASSUMPTIONS'!$J$5:$J$39,MATCH("ai_processing_cost_per_study",'01_ASSUMPTIONS'!$B$5:$B$39,0))</f>
        <v/>
      </c>
      <c r="P20" s="9">
        <f>E20*INDEX('01_ASSUMPTIONS'!$J$5:$J$39,MATCH("variable_support_per_customer",'01_ASSUMPTIONS'!$B$5:$B$39,0))</f>
        <v/>
      </c>
      <c r="Q20" s="9">
        <f>SUM(M20:P20)</f>
        <v/>
      </c>
      <c r="R20" s="9">
        <f>INDEX('01_ASSUMPTIONS'!$J$5:$J$39,MATCH("fixed_infra",'01_ASSUMPTIONS'!$B$5:$B$39,0))</f>
        <v/>
      </c>
      <c r="S20" s="9">
        <f>INDEX('01_ASSUMPTIONS'!$J$5:$J$39,MATCH("software_maintenance",'01_ASSUMPTIONS'!$B$5:$B$39,0))</f>
        <v/>
      </c>
      <c r="T20" s="9">
        <f>INDEX('01_ASSUMPTIONS'!$J$5:$J$39,MATCH("base_support",'01_ASSUMPTIONS'!$B$5:$B$39,0))</f>
        <v/>
      </c>
      <c r="U20" s="9">
        <f>INDEX('01_ASSUMPTIONS'!$J$5:$J$39,MATCH("admin",'01_ASSUMPTIONS'!$B$5:$B$39,0))</f>
        <v/>
      </c>
      <c r="V20" s="9">
        <f>INDEX('01_ASSUMPTIONS'!$J$5:$J$39,MATCH("commercial_marketing",'01_ASSUMPTIONS'!$B$5:$B$39,0))</f>
        <v/>
      </c>
      <c r="W20" s="9">
        <f>INDEX('01_ASSUMPTIONS'!$J$5:$J$39,MATCH("other_fixed",'01_ASSUMPTIONS'!$B$5:$B$39,0))</f>
        <v/>
      </c>
      <c r="X20" s="9">
        <f>SUM(R20:W20)</f>
        <v/>
      </c>
      <c r="Y20" s="9">
        <f>L20-Q20-X20</f>
        <v/>
      </c>
      <c r="Z20" s="9">
        <f>0</f>
        <v/>
      </c>
      <c r="AA20" s="9">
        <f>Y20-Z20</f>
        <v/>
      </c>
      <c r="AB20" s="8">
        <f>1/(1+'01_ASSUMPTIONS'!$E$2)^A20</f>
        <v/>
      </c>
      <c r="AC20" s="9">
        <f>AA20*AB20</f>
        <v/>
      </c>
      <c r="AD20" s="9">
        <f>AD19+AA20</f>
        <v/>
      </c>
      <c r="AE20">
        <f>IF(Y20&gt;=0,"Yes","No")</f>
        <v/>
      </c>
      <c r="AF20">
        <f>IF(AD20&gt;=0,"Yes","No")</f>
        <v/>
      </c>
    </row>
    <row r="21">
      <c r="A21">
        <f>20</f>
        <v/>
      </c>
      <c r="B21" s="10">
        <f>B20*(1-INDEX('01_ASSUMPTIONS'!$J$5:$J$39,MATCH("monthly_churn",'01_ASSUMPTIONS'!$B$5:$B$39,0)))+INDEX('01_ASSUMPTIONS'!$J$5:$J$39,MATCH("starter_monthly_acquisition",'01_ASSUMPTIONS'!$B$5:$B$39,0))</f>
        <v/>
      </c>
      <c r="C21" s="10">
        <f>C20*(1-INDEX('01_ASSUMPTIONS'!$J$5:$J$39,MATCH("monthly_churn",'01_ASSUMPTIONS'!$B$5:$B$39,0)))+INDEX('01_ASSUMPTIONS'!$J$5:$J$39,MATCH("professional_monthly_acquisition",'01_ASSUMPTIONS'!$B$5:$B$39,0))</f>
        <v/>
      </c>
      <c r="D21" s="10">
        <f>D20*(1-INDEX('01_ASSUMPTIONS'!$J$5:$J$39,MATCH("monthly_churn",'01_ASSUMPTIONS'!$B$5:$B$39,0)))+INDEX('01_ASSUMPTIONS'!$J$5:$J$39,MATCH("enterprise_monthly_acquisition",'01_ASSUMPTIONS'!$B$5:$B$39,0))</f>
        <v/>
      </c>
      <c r="E21" s="10">
        <f>SUM(B21:D21)</f>
        <v/>
      </c>
      <c r="F21" s="10">
        <f>B21*INDEX('01_ASSUMPTIONS'!$J$5:$J$39,MATCH("starter_studies_per_customer",'01_ASSUMPTIONS'!$B$5:$B$39,0))</f>
        <v/>
      </c>
      <c r="G21" s="10">
        <f>C21*INDEX('01_ASSUMPTIONS'!$J$5:$J$39,MATCH("professional_studies_per_customer",'01_ASSUMPTIONS'!$B$5:$B$39,0))</f>
        <v/>
      </c>
      <c r="H21" s="10">
        <f>D21*INDEX('01_ASSUMPTIONS'!$J$5:$J$39,MATCH("enterprise_studies_per_customer",'01_ASSUMPTIONS'!$B$5:$B$39,0))</f>
        <v/>
      </c>
      <c r="I21" s="10">
        <f>SUM(F21:H21)</f>
        <v/>
      </c>
      <c r="J21" s="9">
        <f>B21*INDEX('01_ASSUMPTIONS'!$J$5:$J$39,MATCH("starter_fee",'01_ASSUMPTIONS'!$B$5:$B$39,0))+C21*INDEX('01_ASSUMPTIONS'!$J$5:$J$39,MATCH("professional_fee",'01_ASSUMPTIONS'!$B$5:$B$39,0))+D21*INDEX('01_ASSUMPTIONS'!$J$5:$J$39,MATCH("enterprise_fee",'01_ASSUMPTIONS'!$B$5:$B$39,0))</f>
        <v/>
      </c>
      <c r="K21" s="9">
        <f>MAX(F21-B21*INDEX('01_ASSUMPTIONS'!$J$5:$J$39,MATCH("starter_included_studies",'01_ASSUMPTIONS'!$B$5:$B$39,0)),0)*INDEX('01_ASSUMPTIONS'!$J$5:$J$39,MATCH("starter_overage_fee",'01_ASSUMPTIONS'!$B$5:$B$39,0))+MAX(G21-C21*INDEX('01_ASSUMPTIONS'!$J$5:$J$39,MATCH("professional_included_studies",'01_ASSUMPTIONS'!$B$5:$B$39,0)),0)*INDEX('01_ASSUMPTIONS'!$J$5:$J$39,MATCH("professional_overage_fee",'01_ASSUMPTIONS'!$B$5:$B$39,0))+MAX(H21-D21*INDEX('01_ASSUMPTIONS'!$J$5:$J$39,MATCH("enterprise_included_studies",'01_ASSUMPTIONS'!$B$5:$B$39,0)),0)*INDEX('01_ASSUMPTIONS'!$J$5:$J$39,MATCH("enterprise_overage_fee",'01_ASSUMPTIONS'!$B$5:$B$39,0))</f>
        <v/>
      </c>
      <c r="L21" s="9">
        <f>J21+K21</f>
        <v/>
      </c>
      <c r="M21" s="9">
        <f>I21*INDEX('01_ASSUMPTIONS'!$J$5:$J$39,MATCH("cloud_cost_per_study",'01_ASSUMPTIONS'!$B$5:$B$39,0))</f>
        <v/>
      </c>
      <c r="N21" s="9">
        <f>I21*INDEX('01_ASSUMPTIONS'!$J$5:$J$39,MATCH("storage_cost_per_study",'01_ASSUMPTIONS'!$B$5:$B$39,0))</f>
        <v/>
      </c>
      <c r="O21" s="9">
        <f>I21*INDEX('01_ASSUMPTIONS'!$J$5:$J$39,MATCH("ai_processing_cost_per_study",'01_ASSUMPTIONS'!$B$5:$B$39,0))</f>
        <v/>
      </c>
      <c r="P21" s="9">
        <f>E21*INDEX('01_ASSUMPTIONS'!$J$5:$J$39,MATCH("variable_support_per_customer",'01_ASSUMPTIONS'!$B$5:$B$39,0))</f>
        <v/>
      </c>
      <c r="Q21" s="9">
        <f>SUM(M21:P21)</f>
        <v/>
      </c>
      <c r="R21" s="9">
        <f>INDEX('01_ASSUMPTIONS'!$J$5:$J$39,MATCH("fixed_infra",'01_ASSUMPTIONS'!$B$5:$B$39,0))</f>
        <v/>
      </c>
      <c r="S21" s="9">
        <f>INDEX('01_ASSUMPTIONS'!$J$5:$J$39,MATCH("software_maintenance",'01_ASSUMPTIONS'!$B$5:$B$39,0))</f>
        <v/>
      </c>
      <c r="T21" s="9">
        <f>INDEX('01_ASSUMPTIONS'!$J$5:$J$39,MATCH("base_support",'01_ASSUMPTIONS'!$B$5:$B$39,0))</f>
        <v/>
      </c>
      <c r="U21" s="9">
        <f>INDEX('01_ASSUMPTIONS'!$J$5:$J$39,MATCH("admin",'01_ASSUMPTIONS'!$B$5:$B$39,0))</f>
        <v/>
      </c>
      <c r="V21" s="9">
        <f>INDEX('01_ASSUMPTIONS'!$J$5:$J$39,MATCH("commercial_marketing",'01_ASSUMPTIONS'!$B$5:$B$39,0))</f>
        <v/>
      </c>
      <c r="W21" s="9">
        <f>INDEX('01_ASSUMPTIONS'!$J$5:$J$39,MATCH("other_fixed",'01_ASSUMPTIONS'!$B$5:$B$39,0))</f>
        <v/>
      </c>
      <c r="X21" s="9">
        <f>SUM(R21:W21)</f>
        <v/>
      </c>
      <c r="Y21" s="9">
        <f>L21-Q21-X21</f>
        <v/>
      </c>
      <c r="Z21" s="9">
        <f>0</f>
        <v/>
      </c>
      <c r="AA21" s="9">
        <f>Y21-Z21</f>
        <v/>
      </c>
      <c r="AB21" s="8">
        <f>1/(1+'01_ASSUMPTIONS'!$E$2)^A21</f>
        <v/>
      </c>
      <c r="AC21" s="9">
        <f>AA21*AB21</f>
        <v/>
      </c>
      <c r="AD21" s="9">
        <f>AD20+AA21</f>
        <v/>
      </c>
      <c r="AE21">
        <f>IF(Y21&gt;=0,"Yes","No")</f>
        <v/>
      </c>
      <c r="AF21">
        <f>IF(AD21&gt;=0,"Yes","No")</f>
        <v/>
      </c>
    </row>
    <row r="22">
      <c r="A22">
        <f>21</f>
        <v/>
      </c>
      <c r="B22" s="10">
        <f>B21*(1-INDEX('01_ASSUMPTIONS'!$J$5:$J$39,MATCH("monthly_churn",'01_ASSUMPTIONS'!$B$5:$B$39,0)))+INDEX('01_ASSUMPTIONS'!$J$5:$J$39,MATCH("starter_monthly_acquisition",'01_ASSUMPTIONS'!$B$5:$B$39,0))</f>
        <v/>
      </c>
      <c r="C22" s="10">
        <f>C21*(1-INDEX('01_ASSUMPTIONS'!$J$5:$J$39,MATCH("monthly_churn",'01_ASSUMPTIONS'!$B$5:$B$39,0)))+INDEX('01_ASSUMPTIONS'!$J$5:$J$39,MATCH("professional_monthly_acquisition",'01_ASSUMPTIONS'!$B$5:$B$39,0))</f>
        <v/>
      </c>
      <c r="D22" s="10">
        <f>D21*(1-INDEX('01_ASSUMPTIONS'!$J$5:$J$39,MATCH("monthly_churn",'01_ASSUMPTIONS'!$B$5:$B$39,0)))+INDEX('01_ASSUMPTIONS'!$J$5:$J$39,MATCH("enterprise_monthly_acquisition",'01_ASSUMPTIONS'!$B$5:$B$39,0))</f>
        <v/>
      </c>
      <c r="E22" s="10">
        <f>SUM(B22:D22)</f>
        <v/>
      </c>
      <c r="F22" s="10">
        <f>B22*INDEX('01_ASSUMPTIONS'!$J$5:$J$39,MATCH("starter_studies_per_customer",'01_ASSUMPTIONS'!$B$5:$B$39,0))</f>
        <v/>
      </c>
      <c r="G22" s="10">
        <f>C22*INDEX('01_ASSUMPTIONS'!$J$5:$J$39,MATCH("professional_studies_per_customer",'01_ASSUMPTIONS'!$B$5:$B$39,0))</f>
        <v/>
      </c>
      <c r="H22" s="10">
        <f>D22*INDEX('01_ASSUMPTIONS'!$J$5:$J$39,MATCH("enterprise_studies_per_customer",'01_ASSUMPTIONS'!$B$5:$B$39,0))</f>
        <v/>
      </c>
      <c r="I22" s="10">
        <f>SUM(F22:H22)</f>
        <v/>
      </c>
      <c r="J22" s="9">
        <f>B22*INDEX('01_ASSUMPTIONS'!$J$5:$J$39,MATCH("starter_fee",'01_ASSUMPTIONS'!$B$5:$B$39,0))+C22*INDEX('01_ASSUMPTIONS'!$J$5:$J$39,MATCH("professional_fee",'01_ASSUMPTIONS'!$B$5:$B$39,0))+D22*INDEX('01_ASSUMPTIONS'!$J$5:$J$39,MATCH("enterprise_fee",'01_ASSUMPTIONS'!$B$5:$B$39,0))</f>
        <v/>
      </c>
      <c r="K22" s="9">
        <f>MAX(F22-B22*INDEX('01_ASSUMPTIONS'!$J$5:$J$39,MATCH("starter_included_studies",'01_ASSUMPTIONS'!$B$5:$B$39,0)),0)*INDEX('01_ASSUMPTIONS'!$J$5:$J$39,MATCH("starter_overage_fee",'01_ASSUMPTIONS'!$B$5:$B$39,0))+MAX(G22-C22*INDEX('01_ASSUMPTIONS'!$J$5:$J$39,MATCH("professional_included_studies",'01_ASSUMPTIONS'!$B$5:$B$39,0)),0)*INDEX('01_ASSUMPTIONS'!$J$5:$J$39,MATCH("professional_overage_fee",'01_ASSUMPTIONS'!$B$5:$B$39,0))+MAX(H22-D22*INDEX('01_ASSUMPTIONS'!$J$5:$J$39,MATCH("enterprise_included_studies",'01_ASSUMPTIONS'!$B$5:$B$39,0)),0)*INDEX('01_ASSUMPTIONS'!$J$5:$J$39,MATCH("enterprise_overage_fee",'01_ASSUMPTIONS'!$B$5:$B$39,0))</f>
        <v/>
      </c>
      <c r="L22" s="9">
        <f>J22+K22</f>
        <v/>
      </c>
      <c r="M22" s="9">
        <f>I22*INDEX('01_ASSUMPTIONS'!$J$5:$J$39,MATCH("cloud_cost_per_study",'01_ASSUMPTIONS'!$B$5:$B$39,0))</f>
        <v/>
      </c>
      <c r="N22" s="9">
        <f>I22*INDEX('01_ASSUMPTIONS'!$J$5:$J$39,MATCH("storage_cost_per_study",'01_ASSUMPTIONS'!$B$5:$B$39,0))</f>
        <v/>
      </c>
      <c r="O22" s="9">
        <f>I22*INDEX('01_ASSUMPTIONS'!$J$5:$J$39,MATCH("ai_processing_cost_per_study",'01_ASSUMPTIONS'!$B$5:$B$39,0))</f>
        <v/>
      </c>
      <c r="P22" s="9">
        <f>E22*INDEX('01_ASSUMPTIONS'!$J$5:$J$39,MATCH("variable_support_per_customer",'01_ASSUMPTIONS'!$B$5:$B$39,0))</f>
        <v/>
      </c>
      <c r="Q22" s="9">
        <f>SUM(M22:P22)</f>
        <v/>
      </c>
      <c r="R22" s="9">
        <f>INDEX('01_ASSUMPTIONS'!$J$5:$J$39,MATCH("fixed_infra",'01_ASSUMPTIONS'!$B$5:$B$39,0))</f>
        <v/>
      </c>
      <c r="S22" s="9">
        <f>INDEX('01_ASSUMPTIONS'!$J$5:$J$39,MATCH("software_maintenance",'01_ASSUMPTIONS'!$B$5:$B$39,0))</f>
        <v/>
      </c>
      <c r="T22" s="9">
        <f>INDEX('01_ASSUMPTIONS'!$J$5:$J$39,MATCH("base_support",'01_ASSUMPTIONS'!$B$5:$B$39,0))</f>
        <v/>
      </c>
      <c r="U22" s="9">
        <f>INDEX('01_ASSUMPTIONS'!$J$5:$J$39,MATCH("admin",'01_ASSUMPTIONS'!$B$5:$B$39,0))</f>
        <v/>
      </c>
      <c r="V22" s="9">
        <f>INDEX('01_ASSUMPTIONS'!$J$5:$J$39,MATCH("commercial_marketing",'01_ASSUMPTIONS'!$B$5:$B$39,0))</f>
        <v/>
      </c>
      <c r="W22" s="9">
        <f>INDEX('01_ASSUMPTIONS'!$J$5:$J$39,MATCH("other_fixed",'01_ASSUMPTIONS'!$B$5:$B$39,0))</f>
        <v/>
      </c>
      <c r="X22" s="9">
        <f>SUM(R22:W22)</f>
        <v/>
      </c>
      <c r="Y22" s="9">
        <f>L22-Q22-X22</f>
        <v/>
      </c>
      <c r="Z22" s="9">
        <f>0</f>
        <v/>
      </c>
      <c r="AA22" s="9">
        <f>Y22-Z22</f>
        <v/>
      </c>
      <c r="AB22" s="8">
        <f>1/(1+'01_ASSUMPTIONS'!$E$2)^A22</f>
        <v/>
      </c>
      <c r="AC22" s="9">
        <f>AA22*AB22</f>
        <v/>
      </c>
      <c r="AD22" s="9">
        <f>AD21+AA22</f>
        <v/>
      </c>
      <c r="AE22">
        <f>IF(Y22&gt;=0,"Yes","No")</f>
        <v/>
      </c>
      <c r="AF22">
        <f>IF(AD22&gt;=0,"Yes","No")</f>
        <v/>
      </c>
    </row>
    <row r="23">
      <c r="A23">
        <f>22</f>
        <v/>
      </c>
      <c r="B23" s="10">
        <f>B22*(1-INDEX('01_ASSUMPTIONS'!$J$5:$J$39,MATCH("monthly_churn",'01_ASSUMPTIONS'!$B$5:$B$39,0)))+INDEX('01_ASSUMPTIONS'!$J$5:$J$39,MATCH("starter_monthly_acquisition",'01_ASSUMPTIONS'!$B$5:$B$39,0))</f>
        <v/>
      </c>
      <c r="C23" s="10">
        <f>C22*(1-INDEX('01_ASSUMPTIONS'!$J$5:$J$39,MATCH("monthly_churn",'01_ASSUMPTIONS'!$B$5:$B$39,0)))+INDEX('01_ASSUMPTIONS'!$J$5:$J$39,MATCH("professional_monthly_acquisition",'01_ASSUMPTIONS'!$B$5:$B$39,0))</f>
        <v/>
      </c>
      <c r="D23" s="10">
        <f>D22*(1-INDEX('01_ASSUMPTIONS'!$J$5:$J$39,MATCH("monthly_churn",'01_ASSUMPTIONS'!$B$5:$B$39,0)))+INDEX('01_ASSUMPTIONS'!$J$5:$J$39,MATCH("enterprise_monthly_acquisition",'01_ASSUMPTIONS'!$B$5:$B$39,0))</f>
        <v/>
      </c>
      <c r="E23" s="10">
        <f>SUM(B23:D23)</f>
        <v/>
      </c>
      <c r="F23" s="10">
        <f>B23*INDEX('01_ASSUMPTIONS'!$J$5:$J$39,MATCH("starter_studies_per_customer",'01_ASSUMPTIONS'!$B$5:$B$39,0))</f>
        <v/>
      </c>
      <c r="G23" s="10">
        <f>C23*INDEX('01_ASSUMPTIONS'!$J$5:$J$39,MATCH("professional_studies_per_customer",'01_ASSUMPTIONS'!$B$5:$B$39,0))</f>
        <v/>
      </c>
      <c r="H23" s="10">
        <f>D23*INDEX('01_ASSUMPTIONS'!$J$5:$J$39,MATCH("enterprise_studies_per_customer",'01_ASSUMPTIONS'!$B$5:$B$39,0))</f>
        <v/>
      </c>
      <c r="I23" s="10">
        <f>SUM(F23:H23)</f>
        <v/>
      </c>
      <c r="J23" s="9">
        <f>B23*INDEX('01_ASSUMPTIONS'!$J$5:$J$39,MATCH("starter_fee",'01_ASSUMPTIONS'!$B$5:$B$39,0))+C23*INDEX('01_ASSUMPTIONS'!$J$5:$J$39,MATCH("professional_fee",'01_ASSUMPTIONS'!$B$5:$B$39,0))+D23*INDEX('01_ASSUMPTIONS'!$J$5:$J$39,MATCH("enterprise_fee",'01_ASSUMPTIONS'!$B$5:$B$39,0))</f>
        <v/>
      </c>
      <c r="K23" s="9">
        <f>MAX(F23-B23*INDEX('01_ASSUMPTIONS'!$J$5:$J$39,MATCH("starter_included_studies",'01_ASSUMPTIONS'!$B$5:$B$39,0)),0)*INDEX('01_ASSUMPTIONS'!$J$5:$J$39,MATCH("starter_overage_fee",'01_ASSUMPTIONS'!$B$5:$B$39,0))+MAX(G23-C23*INDEX('01_ASSUMPTIONS'!$J$5:$J$39,MATCH("professional_included_studies",'01_ASSUMPTIONS'!$B$5:$B$39,0)),0)*INDEX('01_ASSUMPTIONS'!$J$5:$J$39,MATCH("professional_overage_fee",'01_ASSUMPTIONS'!$B$5:$B$39,0))+MAX(H23-D23*INDEX('01_ASSUMPTIONS'!$J$5:$J$39,MATCH("enterprise_included_studies",'01_ASSUMPTIONS'!$B$5:$B$39,0)),0)*INDEX('01_ASSUMPTIONS'!$J$5:$J$39,MATCH("enterprise_overage_fee",'01_ASSUMPTIONS'!$B$5:$B$39,0))</f>
        <v/>
      </c>
      <c r="L23" s="9">
        <f>J23+K23</f>
        <v/>
      </c>
      <c r="M23" s="9">
        <f>I23*INDEX('01_ASSUMPTIONS'!$J$5:$J$39,MATCH("cloud_cost_per_study",'01_ASSUMPTIONS'!$B$5:$B$39,0))</f>
        <v/>
      </c>
      <c r="N23" s="9">
        <f>I23*INDEX('01_ASSUMPTIONS'!$J$5:$J$39,MATCH("storage_cost_per_study",'01_ASSUMPTIONS'!$B$5:$B$39,0))</f>
        <v/>
      </c>
      <c r="O23" s="9">
        <f>I23*INDEX('01_ASSUMPTIONS'!$J$5:$J$39,MATCH("ai_processing_cost_per_study",'01_ASSUMPTIONS'!$B$5:$B$39,0))</f>
        <v/>
      </c>
      <c r="P23" s="9">
        <f>E23*INDEX('01_ASSUMPTIONS'!$J$5:$J$39,MATCH("variable_support_per_customer",'01_ASSUMPTIONS'!$B$5:$B$39,0))</f>
        <v/>
      </c>
      <c r="Q23" s="9">
        <f>SUM(M23:P23)</f>
        <v/>
      </c>
      <c r="R23" s="9">
        <f>INDEX('01_ASSUMPTIONS'!$J$5:$J$39,MATCH("fixed_infra",'01_ASSUMPTIONS'!$B$5:$B$39,0))</f>
        <v/>
      </c>
      <c r="S23" s="9">
        <f>INDEX('01_ASSUMPTIONS'!$J$5:$J$39,MATCH("software_maintenance",'01_ASSUMPTIONS'!$B$5:$B$39,0))</f>
        <v/>
      </c>
      <c r="T23" s="9">
        <f>INDEX('01_ASSUMPTIONS'!$J$5:$J$39,MATCH("base_support",'01_ASSUMPTIONS'!$B$5:$B$39,0))</f>
        <v/>
      </c>
      <c r="U23" s="9">
        <f>INDEX('01_ASSUMPTIONS'!$J$5:$J$39,MATCH("admin",'01_ASSUMPTIONS'!$B$5:$B$39,0))</f>
        <v/>
      </c>
      <c r="V23" s="9">
        <f>INDEX('01_ASSUMPTIONS'!$J$5:$J$39,MATCH("commercial_marketing",'01_ASSUMPTIONS'!$B$5:$B$39,0))</f>
        <v/>
      </c>
      <c r="W23" s="9">
        <f>INDEX('01_ASSUMPTIONS'!$J$5:$J$39,MATCH("other_fixed",'01_ASSUMPTIONS'!$B$5:$B$39,0))</f>
        <v/>
      </c>
      <c r="X23" s="9">
        <f>SUM(R23:W23)</f>
        <v/>
      </c>
      <c r="Y23" s="9">
        <f>L23-Q23-X23</f>
        <v/>
      </c>
      <c r="Z23" s="9">
        <f>0</f>
        <v/>
      </c>
      <c r="AA23" s="9">
        <f>Y23-Z23</f>
        <v/>
      </c>
      <c r="AB23" s="8">
        <f>1/(1+'01_ASSUMPTIONS'!$E$2)^A23</f>
        <v/>
      </c>
      <c r="AC23" s="9">
        <f>AA23*AB23</f>
        <v/>
      </c>
      <c r="AD23" s="9">
        <f>AD22+AA23</f>
        <v/>
      </c>
      <c r="AE23">
        <f>IF(Y23&gt;=0,"Yes","No")</f>
        <v/>
      </c>
      <c r="AF23">
        <f>IF(AD23&gt;=0,"Yes","No")</f>
        <v/>
      </c>
    </row>
    <row r="24">
      <c r="A24">
        <f>23</f>
        <v/>
      </c>
      <c r="B24" s="10">
        <f>B23*(1-INDEX('01_ASSUMPTIONS'!$J$5:$J$39,MATCH("monthly_churn",'01_ASSUMPTIONS'!$B$5:$B$39,0)))+INDEX('01_ASSUMPTIONS'!$J$5:$J$39,MATCH("starter_monthly_acquisition",'01_ASSUMPTIONS'!$B$5:$B$39,0))</f>
        <v/>
      </c>
      <c r="C24" s="10">
        <f>C23*(1-INDEX('01_ASSUMPTIONS'!$J$5:$J$39,MATCH("monthly_churn",'01_ASSUMPTIONS'!$B$5:$B$39,0)))+INDEX('01_ASSUMPTIONS'!$J$5:$J$39,MATCH("professional_monthly_acquisition",'01_ASSUMPTIONS'!$B$5:$B$39,0))</f>
        <v/>
      </c>
      <c r="D24" s="10">
        <f>D23*(1-INDEX('01_ASSUMPTIONS'!$J$5:$J$39,MATCH("monthly_churn",'01_ASSUMPTIONS'!$B$5:$B$39,0)))+INDEX('01_ASSUMPTIONS'!$J$5:$J$39,MATCH("enterprise_monthly_acquisition",'01_ASSUMPTIONS'!$B$5:$B$39,0))</f>
        <v/>
      </c>
      <c r="E24" s="10">
        <f>SUM(B24:D24)</f>
        <v/>
      </c>
      <c r="F24" s="10">
        <f>B24*INDEX('01_ASSUMPTIONS'!$J$5:$J$39,MATCH("starter_studies_per_customer",'01_ASSUMPTIONS'!$B$5:$B$39,0))</f>
        <v/>
      </c>
      <c r="G24" s="10">
        <f>C24*INDEX('01_ASSUMPTIONS'!$J$5:$J$39,MATCH("professional_studies_per_customer",'01_ASSUMPTIONS'!$B$5:$B$39,0))</f>
        <v/>
      </c>
      <c r="H24" s="10">
        <f>D24*INDEX('01_ASSUMPTIONS'!$J$5:$J$39,MATCH("enterprise_studies_per_customer",'01_ASSUMPTIONS'!$B$5:$B$39,0))</f>
        <v/>
      </c>
      <c r="I24" s="10">
        <f>SUM(F24:H24)</f>
        <v/>
      </c>
      <c r="J24" s="9">
        <f>B24*INDEX('01_ASSUMPTIONS'!$J$5:$J$39,MATCH("starter_fee",'01_ASSUMPTIONS'!$B$5:$B$39,0))+C24*INDEX('01_ASSUMPTIONS'!$J$5:$J$39,MATCH("professional_fee",'01_ASSUMPTIONS'!$B$5:$B$39,0))+D24*INDEX('01_ASSUMPTIONS'!$J$5:$J$39,MATCH("enterprise_fee",'01_ASSUMPTIONS'!$B$5:$B$39,0))</f>
        <v/>
      </c>
      <c r="K24" s="9">
        <f>MAX(F24-B24*INDEX('01_ASSUMPTIONS'!$J$5:$J$39,MATCH("starter_included_studies",'01_ASSUMPTIONS'!$B$5:$B$39,0)),0)*INDEX('01_ASSUMPTIONS'!$J$5:$J$39,MATCH("starter_overage_fee",'01_ASSUMPTIONS'!$B$5:$B$39,0))+MAX(G24-C24*INDEX('01_ASSUMPTIONS'!$J$5:$J$39,MATCH("professional_included_studies",'01_ASSUMPTIONS'!$B$5:$B$39,0)),0)*INDEX('01_ASSUMPTIONS'!$J$5:$J$39,MATCH("professional_overage_fee",'01_ASSUMPTIONS'!$B$5:$B$39,0))+MAX(H24-D24*INDEX('01_ASSUMPTIONS'!$J$5:$J$39,MATCH("enterprise_included_studies",'01_ASSUMPTIONS'!$B$5:$B$39,0)),0)*INDEX('01_ASSUMPTIONS'!$J$5:$J$39,MATCH("enterprise_overage_fee",'01_ASSUMPTIONS'!$B$5:$B$39,0))</f>
        <v/>
      </c>
      <c r="L24" s="9">
        <f>J24+K24</f>
        <v/>
      </c>
      <c r="M24" s="9">
        <f>I24*INDEX('01_ASSUMPTIONS'!$J$5:$J$39,MATCH("cloud_cost_per_study",'01_ASSUMPTIONS'!$B$5:$B$39,0))</f>
        <v/>
      </c>
      <c r="N24" s="9">
        <f>I24*INDEX('01_ASSUMPTIONS'!$J$5:$J$39,MATCH("storage_cost_per_study",'01_ASSUMPTIONS'!$B$5:$B$39,0))</f>
        <v/>
      </c>
      <c r="O24" s="9">
        <f>I24*INDEX('01_ASSUMPTIONS'!$J$5:$J$39,MATCH("ai_processing_cost_per_study",'01_ASSUMPTIONS'!$B$5:$B$39,0))</f>
        <v/>
      </c>
      <c r="P24" s="9">
        <f>E24*INDEX('01_ASSUMPTIONS'!$J$5:$J$39,MATCH("variable_support_per_customer",'01_ASSUMPTIONS'!$B$5:$B$39,0))</f>
        <v/>
      </c>
      <c r="Q24" s="9">
        <f>SUM(M24:P24)</f>
        <v/>
      </c>
      <c r="R24" s="9">
        <f>INDEX('01_ASSUMPTIONS'!$J$5:$J$39,MATCH("fixed_infra",'01_ASSUMPTIONS'!$B$5:$B$39,0))</f>
        <v/>
      </c>
      <c r="S24" s="9">
        <f>INDEX('01_ASSUMPTIONS'!$J$5:$J$39,MATCH("software_maintenance",'01_ASSUMPTIONS'!$B$5:$B$39,0))</f>
        <v/>
      </c>
      <c r="T24" s="9">
        <f>INDEX('01_ASSUMPTIONS'!$J$5:$J$39,MATCH("base_support",'01_ASSUMPTIONS'!$B$5:$B$39,0))</f>
        <v/>
      </c>
      <c r="U24" s="9">
        <f>INDEX('01_ASSUMPTIONS'!$J$5:$J$39,MATCH("admin",'01_ASSUMPTIONS'!$B$5:$B$39,0))</f>
        <v/>
      </c>
      <c r="V24" s="9">
        <f>INDEX('01_ASSUMPTIONS'!$J$5:$J$39,MATCH("commercial_marketing",'01_ASSUMPTIONS'!$B$5:$B$39,0))</f>
        <v/>
      </c>
      <c r="W24" s="9">
        <f>INDEX('01_ASSUMPTIONS'!$J$5:$J$39,MATCH("other_fixed",'01_ASSUMPTIONS'!$B$5:$B$39,0))</f>
        <v/>
      </c>
      <c r="X24" s="9">
        <f>SUM(R24:W24)</f>
        <v/>
      </c>
      <c r="Y24" s="9">
        <f>L24-Q24-X24</f>
        <v/>
      </c>
      <c r="Z24" s="9">
        <f>0</f>
        <v/>
      </c>
      <c r="AA24" s="9">
        <f>Y24-Z24</f>
        <v/>
      </c>
      <c r="AB24" s="8">
        <f>1/(1+'01_ASSUMPTIONS'!$E$2)^A24</f>
        <v/>
      </c>
      <c r="AC24" s="9">
        <f>AA24*AB24</f>
        <v/>
      </c>
      <c r="AD24" s="9">
        <f>AD23+AA24</f>
        <v/>
      </c>
      <c r="AE24">
        <f>IF(Y24&gt;=0,"Yes","No")</f>
        <v/>
      </c>
      <c r="AF24">
        <f>IF(AD24&gt;=0,"Yes","No")</f>
        <v/>
      </c>
    </row>
    <row r="25">
      <c r="A25">
        <f>24</f>
        <v/>
      </c>
      <c r="B25" s="10">
        <f>B24*(1-INDEX('01_ASSUMPTIONS'!$J$5:$J$39,MATCH("monthly_churn",'01_ASSUMPTIONS'!$B$5:$B$39,0)))+INDEX('01_ASSUMPTIONS'!$J$5:$J$39,MATCH("starter_monthly_acquisition",'01_ASSUMPTIONS'!$B$5:$B$39,0))</f>
        <v/>
      </c>
      <c r="C25" s="10">
        <f>C24*(1-INDEX('01_ASSUMPTIONS'!$J$5:$J$39,MATCH("monthly_churn",'01_ASSUMPTIONS'!$B$5:$B$39,0)))+INDEX('01_ASSUMPTIONS'!$J$5:$J$39,MATCH("professional_monthly_acquisition",'01_ASSUMPTIONS'!$B$5:$B$39,0))</f>
        <v/>
      </c>
      <c r="D25" s="10">
        <f>D24*(1-INDEX('01_ASSUMPTIONS'!$J$5:$J$39,MATCH("monthly_churn",'01_ASSUMPTIONS'!$B$5:$B$39,0)))+INDEX('01_ASSUMPTIONS'!$J$5:$J$39,MATCH("enterprise_monthly_acquisition",'01_ASSUMPTIONS'!$B$5:$B$39,0))</f>
        <v/>
      </c>
      <c r="E25" s="10">
        <f>SUM(B25:D25)</f>
        <v/>
      </c>
      <c r="F25" s="10">
        <f>B25*INDEX('01_ASSUMPTIONS'!$J$5:$J$39,MATCH("starter_studies_per_customer",'01_ASSUMPTIONS'!$B$5:$B$39,0))</f>
        <v/>
      </c>
      <c r="G25" s="10">
        <f>C25*INDEX('01_ASSUMPTIONS'!$J$5:$J$39,MATCH("professional_studies_per_customer",'01_ASSUMPTIONS'!$B$5:$B$39,0))</f>
        <v/>
      </c>
      <c r="H25" s="10">
        <f>D25*INDEX('01_ASSUMPTIONS'!$J$5:$J$39,MATCH("enterprise_studies_per_customer",'01_ASSUMPTIONS'!$B$5:$B$39,0))</f>
        <v/>
      </c>
      <c r="I25" s="10">
        <f>SUM(F25:H25)</f>
        <v/>
      </c>
      <c r="J25" s="9">
        <f>B25*INDEX('01_ASSUMPTIONS'!$J$5:$J$39,MATCH("starter_fee",'01_ASSUMPTIONS'!$B$5:$B$39,0))+C25*INDEX('01_ASSUMPTIONS'!$J$5:$J$39,MATCH("professional_fee",'01_ASSUMPTIONS'!$B$5:$B$39,0))+D25*INDEX('01_ASSUMPTIONS'!$J$5:$J$39,MATCH("enterprise_fee",'01_ASSUMPTIONS'!$B$5:$B$39,0))</f>
        <v/>
      </c>
      <c r="K25" s="9">
        <f>MAX(F25-B25*INDEX('01_ASSUMPTIONS'!$J$5:$J$39,MATCH("starter_included_studies",'01_ASSUMPTIONS'!$B$5:$B$39,0)),0)*INDEX('01_ASSUMPTIONS'!$J$5:$J$39,MATCH("starter_overage_fee",'01_ASSUMPTIONS'!$B$5:$B$39,0))+MAX(G25-C25*INDEX('01_ASSUMPTIONS'!$J$5:$J$39,MATCH("professional_included_studies",'01_ASSUMPTIONS'!$B$5:$B$39,0)),0)*INDEX('01_ASSUMPTIONS'!$J$5:$J$39,MATCH("professional_overage_fee",'01_ASSUMPTIONS'!$B$5:$B$39,0))+MAX(H25-D25*INDEX('01_ASSUMPTIONS'!$J$5:$J$39,MATCH("enterprise_included_studies",'01_ASSUMPTIONS'!$B$5:$B$39,0)),0)*INDEX('01_ASSUMPTIONS'!$J$5:$J$39,MATCH("enterprise_overage_fee",'01_ASSUMPTIONS'!$B$5:$B$39,0))</f>
        <v/>
      </c>
      <c r="L25" s="9">
        <f>J25+K25</f>
        <v/>
      </c>
      <c r="M25" s="9">
        <f>I25*INDEX('01_ASSUMPTIONS'!$J$5:$J$39,MATCH("cloud_cost_per_study",'01_ASSUMPTIONS'!$B$5:$B$39,0))</f>
        <v/>
      </c>
      <c r="N25" s="9">
        <f>I25*INDEX('01_ASSUMPTIONS'!$J$5:$J$39,MATCH("storage_cost_per_study",'01_ASSUMPTIONS'!$B$5:$B$39,0))</f>
        <v/>
      </c>
      <c r="O25" s="9">
        <f>I25*INDEX('01_ASSUMPTIONS'!$J$5:$J$39,MATCH("ai_processing_cost_per_study",'01_ASSUMPTIONS'!$B$5:$B$39,0))</f>
        <v/>
      </c>
      <c r="P25" s="9">
        <f>E25*INDEX('01_ASSUMPTIONS'!$J$5:$J$39,MATCH("variable_support_per_customer",'01_ASSUMPTIONS'!$B$5:$B$39,0))</f>
        <v/>
      </c>
      <c r="Q25" s="9">
        <f>SUM(M25:P25)</f>
        <v/>
      </c>
      <c r="R25" s="9">
        <f>INDEX('01_ASSUMPTIONS'!$J$5:$J$39,MATCH("fixed_infra",'01_ASSUMPTIONS'!$B$5:$B$39,0))</f>
        <v/>
      </c>
      <c r="S25" s="9">
        <f>INDEX('01_ASSUMPTIONS'!$J$5:$J$39,MATCH("software_maintenance",'01_ASSUMPTIONS'!$B$5:$B$39,0))</f>
        <v/>
      </c>
      <c r="T25" s="9">
        <f>INDEX('01_ASSUMPTIONS'!$J$5:$J$39,MATCH("base_support",'01_ASSUMPTIONS'!$B$5:$B$39,0))</f>
        <v/>
      </c>
      <c r="U25" s="9">
        <f>INDEX('01_ASSUMPTIONS'!$J$5:$J$39,MATCH("admin",'01_ASSUMPTIONS'!$B$5:$B$39,0))</f>
        <v/>
      </c>
      <c r="V25" s="9">
        <f>INDEX('01_ASSUMPTIONS'!$J$5:$J$39,MATCH("commercial_marketing",'01_ASSUMPTIONS'!$B$5:$B$39,0))</f>
        <v/>
      </c>
      <c r="W25" s="9">
        <f>INDEX('01_ASSUMPTIONS'!$J$5:$J$39,MATCH("other_fixed",'01_ASSUMPTIONS'!$B$5:$B$39,0))</f>
        <v/>
      </c>
      <c r="X25" s="9">
        <f>SUM(R25:W25)</f>
        <v/>
      </c>
      <c r="Y25" s="9">
        <f>L25-Q25-X25</f>
        <v/>
      </c>
      <c r="Z25" s="9">
        <f>0</f>
        <v/>
      </c>
      <c r="AA25" s="9">
        <f>Y25-Z25</f>
        <v/>
      </c>
      <c r="AB25" s="8">
        <f>1/(1+'01_ASSUMPTIONS'!$E$2)^A25</f>
        <v/>
      </c>
      <c r="AC25" s="9">
        <f>AA25*AB25</f>
        <v/>
      </c>
      <c r="AD25" s="9">
        <f>AD24+AA25</f>
        <v/>
      </c>
      <c r="AE25">
        <f>IF(Y25&gt;=0,"Yes","No")</f>
        <v/>
      </c>
      <c r="AF25">
        <f>IF(AD25&gt;=0,"Yes","No")</f>
        <v/>
      </c>
    </row>
    <row r="26">
      <c r="A26">
        <f>25</f>
        <v/>
      </c>
      <c r="B26" s="10">
        <f>B25*(1-INDEX('01_ASSUMPTIONS'!$J$5:$J$39,MATCH("monthly_churn",'01_ASSUMPTIONS'!$B$5:$B$39,0)))+INDEX('01_ASSUMPTIONS'!$J$5:$J$39,MATCH("starter_monthly_acquisition",'01_ASSUMPTIONS'!$B$5:$B$39,0))</f>
        <v/>
      </c>
      <c r="C26" s="10">
        <f>C25*(1-INDEX('01_ASSUMPTIONS'!$J$5:$J$39,MATCH("monthly_churn",'01_ASSUMPTIONS'!$B$5:$B$39,0)))+INDEX('01_ASSUMPTIONS'!$J$5:$J$39,MATCH("professional_monthly_acquisition",'01_ASSUMPTIONS'!$B$5:$B$39,0))</f>
        <v/>
      </c>
      <c r="D26" s="10">
        <f>D25*(1-INDEX('01_ASSUMPTIONS'!$J$5:$J$39,MATCH("monthly_churn",'01_ASSUMPTIONS'!$B$5:$B$39,0)))+INDEX('01_ASSUMPTIONS'!$J$5:$J$39,MATCH("enterprise_monthly_acquisition",'01_ASSUMPTIONS'!$B$5:$B$39,0))</f>
        <v/>
      </c>
      <c r="E26" s="10">
        <f>SUM(B26:D26)</f>
        <v/>
      </c>
      <c r="F26" s="10">
        <f>B26*INDEX('01_ASSUMPTIONS'!$J$5:$J$39,MATCH("starter_studies_per_customer",'01_ASSUMPTIONS'!$B$5:$B$39,0))</f>
        <v/>
      </c>
      <c r="G26" s="10">
        <f>C26*INDEX('01_ASSUMPTIONS'!$J$5:$J$39,MATCH("professional_studies_per_customer",'01_ASSUMPTIONS'!$B$5:$B$39,0))</f>
        <v/>
      </c>
      <c r="H26" s="10">
        <f>D26*INDEX('01_ASSUMPTIONS'!$J$5:$J$39,MATCH("enterprise_studies_per_customer",'01_ASSUMPTIONS'!$B$5:$B$39,0))</f>
        <v/>
      </c>
      <c r="I26" s="10">
        <f>SUM(F26:H26)</f>
        <v/>
      </c>
      <c r="J26" s="9">
        <f>B26*INDEX('01_ASSUMPTIONS'!$J$5:$J$39,MATCH("starter_fee",'01_ASSUMPTIONS'!$B$5:$B$39,0))+C26*INDEX('01_ASSUMPTIONS'!$J$5:$J$39,MATCH("professional_fee",'01_ASSUMPTIONS'!$B$5:$B$39,0))+D26*INDEX('01_ASSUMPTIONS'!$J$5:$J$39,MATCH("enterprise_fee",'01_ASSUMPTIONS'!$B$5:$B$39,0))</f>
        <v/>
      </c>
      <c r="K26" s="9">
        <f>MAX(F26-B26*INDEX('01_ASSUMPTIONS'!$J$5:$J$39,MATCH("starter_included_studies",'01_ASSUMPTIONS'!$B$5:$B$39,0)),0)*INDEX('01_ASSUMPTIONS'!$J$5:$J$39,MATCH("starter_overage_fee",'01_ASSUMPTIONS'!$B$5:$B$39,0))+MAX(G26-C26*INDEX('01_ASSUMPTIONS'!$J$5:$J$39,MATCH("professional_included_studies",'01_ASSUMPTIONS'!$B$5:$B$39,0)),0)*INDEX('01_ASSUMPTIONS'!$J$5:$J$39,MATCH("professional_overage_fee",'01_ASSUMPTIONS'!$B$5:$B$39,0))+MAX(H26-D26*INDEX('01_ASSUMPTIONS'!$J$5:$J$39,MATCH("enterprise_included_studies",'01_ASSUMPTIONS'!$B$5:$B$39,0)),0)*INDEX('01_ASSUMPTIONS'!$J$5:$J$39,MATCH("enterprise_overage_fee",'01_ASSUMPTIONS'!$B$5:$B$39,0))</f>
        <v/>
      </c>
      <c r="L26" s="9">
        <f>J26+K26</f>
        <v/>
      </c>
      <c r="M26" s="9">
        <f>I26*INDEX('01_ASSUMPTIONS'!$J$5:$J$39,MATCH("cloud_cost_per_study",'01_ASSUMPTIONS'!$B$5:$B$39,0))</f>
        <v/>
      </c>
      <c r="N26" s="9">
        <f>I26*INDEX('01_ASSUMPTIONS'!$J$5:$J$39,MATCH("storage_cost_per_study",'01_ASSUMPTIONS'!$B$5:$B$39,0))</f>
        <v/>
      </c>
      <c r="O26" s="9">
        <f>I26*INDEX('01_ASSUMPTIONS'!$J$5:$J$39,MATCH("ai_processing_cost_per_study",'01_ASSUMPTIONS'!$B$5:$B$39,0))</f>
        <v/>
      </c>
      <c r="P26" s="9">
        <f>E26*INDEX('01_ASSUMPTIONS'!$J$5:$J$39,MATCH("variable_support_per_customer",'01_ASSUMPTIONS'!$B$5:$B$39,0))</f>
        <v/>
      </c>
      <c r="Q26" s="9">
        <f>SUM(M26:P26)</f>
        <v/>
      </c>
      <c r="R26" s="9">
        <f>INDEX('01_ASSUMPTIONS'!$J$5:$J$39,MATCH("fixed_infra",'01_ASSUMPTIONS'!$B$5:$B$39,0))</f>
        <v/>
      </c>
      <c r="S26" s="9">
        <f>INDEX('01_ASSUMPTIONS'!$J$5:$J$39,MATCH("software_maintenance",'01_ASSUMPTIONS'!$B$5:$B$39,0))</f>
        <v/>
      </c>
      <c r="T26" s="9">
        <f>INDEX('01_ASSUMPTIONS'!$J$5:$J$39,MATCH("base_support",'01_ASSUMPTIONS'!$B$5:$B$39,0))</f>
        <v/>
      </c>
      <c r="U26" s="9">
        <f>INDEX('01_ASSUMPTIONS'!$J$5:$J$39,MATCH("admin",'01_ASSUMPTIONS'!$B$5:$B$39,0))</f>
        <v/>
      </c>
      <c r="V26" s="9">
        <f>INDEX('01_ASSUMPTIONS'!$J$5:$J$39,MATCH("commercial_marketing",'01_ASSUMPTIONS'!$B$5:$B$39,0))</f>
        <v/>
      </c>
      <c r="W26" s="9">
        <f>INDEX('01_ASSUMPTIONS'!$J$5:$J$39,MATCH("other_fixed",'01_ASSUMPTIONS'!$B$5:$B$39,0))</f>
        <v/>
      </c>
      <c r="X26" s="9">
        <f>SUM(R26:W26)</f>
        <v/>
      </c>
      <c r="Y26" s="9">
        <f>L26-Q26-X26</f>
        <v/>
      </c>
      <c r="Z26" s="9">
        <f>0</f>
        <v/>
      </c>
      <c r="AA26" s="9">
        <f>Y26-Z26</f>
        <v/>
      </c>
      <c r="AB26" s="8">
        <f>1/(1+'01_ASSUMPTIONS'!$E$2)^A26</f>
        <v/>
      </c>
      <c r="AC26" s="9">
        <f>AA26*AB26</f>
        <v/>
      </c>
      <c r="AD26" s="9">
        <f>AD25+AA26</f>
        <v/>
      </c>
      <c r="AE26">
        <f>IF(Y26&gt;=0,"Yes","No")</f>
        <v/>
      </c>
      <c r="AF26">
        <f>IF(AD26&gt;=0,"Yes","No")</f>
        <v/>
      </c>
    </row>
    <row r="27">
      <c r="A27">
        <f>26</f>
        <v/>
      </c>
      <c r="B27" s="10">
        <f>B26*(1-INDEX('01_ASSUMPTIONS'!$J$5:$J$39,MATCH("monthly_churn",'01_ASSUMPTIONS'!$B$5:$B$39,0)))+INDEX('01_ASSUMPTIONS'!$J$5:$J$39,MATCH("starter_monthly_acquisition",'01_ASSUMPTIONS'!$B$5:$B$39,0))</f>
        <v/>
      </c>
      <c r="C27" s="10">
        <f>C26*(1-INDEX('01_ASSUMPTIONS'!$J$5:$J$39,MATCH("monthly_churn",'01_ASSUMPTIONS'!$B$5:$B$39,0)))+INDEX('01_ASSUMPTIONS'!$J$5:$J$39,MATCH("professional_monthly_acquisition",'01_ASSUMPTIONS'!$B$5:$B$39,0))</f>
        <v/>
      </c>
      <c r="D27" s="10">
        <f>D26*(1-INDEX('01_ASSUMPTIONS'!$J$5:$J$39,MATCH("monthly_churn",'01_ASSUMPTIONS'!$B$5:$B$39,0)))+INDEX('01_ASSUMPTIONS'!$J$5:$J$39,MATCH("enterprise_monthly_acquisition",'01_ASSUMPTIONS'!$B$5:$B$39,0))</f>
        <v/>
      </c>
      <c r="E27" s="10">
        <f>SUM(B27:D27)</f>
        <v/>
      </c>
      <c r="F27" s="10">
        <f>B27*INDEX('01_ASSUMPTIONS'!$J$5:$J$39,MATCH("starter_studies_per_customer",'01_ASSUMPTIONS'!$B$5:$B$39,0))</f>
        <v/>
      </c>
      <c r="G27" s="10">
        <f>C27*INDEX('01_ASSUMPTIONS'!$J$5:$J$39,MATCH("professional_studies_per_customer",'01_ASSUMPTIONS'!$B$5:$B$39,0))</f>
        <v/>
      </c>
      <c r="H27" s="10">
        <f>D27*INDEX('01_ASSUMPTIONS'!$J$5:$J$39,MATCH("enterprise_studies_per_customer",'01_ASSUMPTIONS'!$B$5:$B$39,0))</f>
        <v/>
      </c>
      <c r="I27" s="10">
        <f>SUM(F27:H27)</f>
        <v/>
      </c>
      <c r="J27" s="9">
        <f>B27*INDEX('01_ASSUMPTIONS'!$J$5:$J$39,MATCH("starter_fee",'01_ASSUMPTIONS'!$B$5:$B$39,0))+C27*INDEX('01_ASSUMPTIONS'!$J$5:$J$39,MATCH("professional_fee",'01_ASSUMPTIONS'!$B$5:$B$39,0))+D27*INDEX('01_ASSUMPTIONS'!$J$5:$J$39,MATCH("enterprise_fee",'01_ASSUMPTIONS'!$B$5:$B$39,0))</f>
        <v/>
      </c>
      <c r="K27" s="9">
        <f>MAX(F27-B27*INDEX('01_ASSUMPTIONS'!$J$5:$J$39,MATCH("starter_included_studies",'01_ASSUMPTIONS'!$B$5:$B$39,0)),0)*INDEX('01_ASSUMPTIONS'!$J$5:$J$39,MATCH("starter_overage_fee",'01_ASSUMPTIONS'!$B$5:$B$39,0))+MAX(G27-C27*INDEX('01_ASSUMPTIONS'!$J$5:$J$39,MATCH("professional_included_studies",'01_ASSUMPTIONS'!$B$5:$B$39,0)),0)*INDEX('01_ASSUMPTIONS'!$J$5:$J$39,MATCH("professional_overage_fee",'01_ASSUMPTIONS'!$B$5:$B$39,0))+MAX(H27-D27*INDEX('01_ASSUMPTIONS'!$J$5:$J$39,MATCH("enterprise_included_studies",'01_ASSUMPTIONS'!$B$5:$B$39,0)),0)*INDEX('01_ASSUMPTIONS'!$J$5:$J$39,MATCH("enterprise_overage_fee",'01_ASSUMPTIONS'!$B$5:$B$39,0))</f>
        <v/>
      </c>
      <c r="L27" s="9">
        <f>J27+K27</f>
        <v/>
      </c>
      <c r="M27" s="9">
        <f>I27*INDEX('01_ASSUMPTIONS'!$J$5:$J$39,MATCH("cloud_cost_per_study",'01_ASSUMPTIONS'!$B$5:$B$39,0))</f>
        <v/>
      </c>
      <c r="N27" s="9">
        <f>I27*INDEX('01_ASSUMPTIONS'!$J$5:$J$39,MATCH("storage_cost_per_study",'01_ASSUMPTIONS'!$B$5:$B$39,0))</f>
        <v/>
      </c>
      <c r="O27" s="9">
        <f>I27*INDEX('01_ASSUMPTIONS'!$J$5:$J$39,MATCH("ai_processing_cost_per_study",'01_ASSUMPTIONS'!$B$5:$B$39,0))</f>
        <v/>
      </c>
      <c r="P27" s="9">
        <f>E27*INDEX('01_ASSUMPTIONS'!$J$5:$J$39,MATCH("variable_support_per_customer",'01_ASSUMPTIONS'!$B$5:$B$39,0))</f>
        <v/>
      </c>
      <c r="Q27" s="9">
        <f>SUM(M27:P27)</f>
        <v/>
      </c>
      <c r="R27" s="9">
        <f>INDEX('01_ASSUMPTIONS'!$J$5:$J$39,MATCH("fixed_infra",'01_ASSUMPTIONS'!$B$5:$B$39,0))</f>
        <v/>
      </c>
      <c r="S27" s="9">
        <f>INDEX('01_ASSUMPTIONS'!$J$5:$J$39,MATCH("software_maintenance",'01_ASSUMPTIONS'!$B$5:$B$39,0))</f>
        <v/>
      </c>
      <c r="T27" s="9">
        <f>INDEX('01_ASSUMPTIONS'!$J$5:$J$39,MATCH("base_support",'01_ASSUMPTIONS'!$B$5:$B$39,0))</f>
        <v/>
      </c>
      <c r="U27" s="9">
        <f>INDEX('01_ASSUMPTIONS'!$J$5:$J$39,MATCH("admin",'01_ASSUMPTIONS'!$B$5:$B$39,0))</f>
        <v/>
      </c>
      <c r="V27" s="9">
        <f>INDEX('01_ASSUMPTIONS'!$J$5:$J$39,MATCH("commercial_marketing",'01_ASSUMPTIONS'!$B$5:$B$39,0))</f>
        <v/>
      </c>
      <c r="W27" s="9">
        <f>INDEX('01_ASSUMPTIONS'!$J$5:$J$39,MATCH("other_fixed",'01_ASSUMPTIONS'!$B$5:$B$39,0))</f>
        <v/>
      </c>
      <c r="X27" s="9">
        <f>SUM(R27:W27)</f>
        <v/>
      </c>
      <c r="Y27" s="9">
        <f>L27-Q27-X27</f>
        <v/>
      </c>
      <c r="Z27" s="9">
        <f>0</f>
        <v/>
      </c>
      <c r="AA27" s="9">
        <f>Y27-Z27</f>
        <v/>
      </c>
      <c r="AB27" s="8">
        <f>1/(1+'01_ASSUMPTIONS'!$E$2)^A27</f>
        <v/>
      </c>
      <c r="AC27" s="9">
        <f>AA27*AB27</f>
        <v/>
      </c>
      <c r="AD27" s="9">
        <f>AD26+AA27</f>
        <v/>
      </c>
      <c r="AE27">
        <f>IF(Y27&gt;=0,"Yes","No")</f>
        <v/>
      </c>
      <c r="AF27">
        <f>IF(AD27&gt;=0,"Yes","No")</f>
        <v/>
      </c>
    </row>
    <row r="28">
      <c r="A28">
        <f>27</f>
        <v/>
      </c>
      <c r="B28" s="10">
        <f>B27*(1-INDEX('01_ASSUMPTIONS'!$J$5:$J$39,MATCH("monthly_churn",'01_ASSUMPTIONS'!$B$5:$B$39,0)))+INDEX('01_ASSUMPTIONS'!$J$5:$J$39,MATCH("starter_monthly_acquisition",'01_ASSUMPTIONS'!$B$5:$B$39,0))</f>
        <v/>
      </c>
      <c r="C28" s="10">
        <f>C27*(1-INDEX('01_ASSUMPTIONS'!$J$5:$J$39,MATCH("monthly_churn",'01_ASSUMPTIONS'!$B$5:$B$39,0)))+INDEX('01_ASSUMPTIONS'!$J$5:$J$39,MATCH("professional_monthly_acquisition",'01_ASSUMPTIONS'!$B$5:$B$39,0))</f>
        <v/>
      </c>
      <c r="D28" s="10">
        <f>D27*(1-INDEX('01_ASSUMPTIONS'!$J$5:$J$39,MATCH("monthly_churn",'01_ASSUMPTIONS'!$B$5:$B$39,0)))+INDEX('01_ASSUMPTIONS'!$J$5:$J$39,MATCH("enterprise_monthly_acquisition",'01_ASSUMPTIONS'!$B$5:$B$39,0))</f>
        <v/>
      </c>
      <c r="E28" s="10">
        <f>SUM(B28:D28)</f>
        <v/>
      </c>
      <c r="F28" s="10">
        <f>B28*INDEX('01_ASSUMPTIONS'!$J$5:$J$39,MATCH("starter_studies_per_customer",'01_ASSUMPTIONS'!$B$5:$B$39,0))</f>
        <v/>
      </c>
      <c r="G28" s="10">
        <f>C28*INDEX('01_ASSUMPTIONS'!$J$5:$J$39,MATCH("professional_studies_per_customer",'01_ASSUMPTIONS'!$B$5:$B$39,0))</f>
        <v/>
      </c>
      <c r="H28" s="10">
        <f>D28*INDEX('01_ASSUMPTIONS'!$J$5:$J$39,MATCH("enterprise_studies_per_customer",'01_ASSUMPTIONS'!$B$5:$B$39,0))</f>
        <v/>
      </c>
      <c r="I28" s="10">
        <f>SUM(F28:H28)</f>
        <v/>
      </c>
      <c r="J28" s="9">
        <f>B28*INDEX('01_ASSUMPTIONS'!$J$5:$J$39,MATCH("starter_fee",'01_ASSUMPTIONS'!$B$5:$B$39,0))+C28*INDEX('01_ASSUMPTIONS'!$J$5:$J$39,MATCH("professional_fee",'01_ASSUMPTIONS'!$B$5:$B$39,0))+D28*INDEX('01_ASSUMPTIONS'!$J$5:$J$39,MATCH("enterprise_fee",'01_ASSUMPTIONS'!$B$5:$B$39,0))</f>
        <v/>
      </c>
      <c r="K28" s="9">
        <f>MAX(F28-B28*INDEX('01_ASSUMPTIONS'!$J$5:$J$39,MATCH("starter_included_studies",'01_ASSUMPTIONS'!$B$5:$B$39,0)),0)*INDEX('01_ASSUMPTIONS'!$J$5:$J$39,MATCH("starter_overage_fee",'01_ASSUMPTIONS'!$B$5:$B$39,0))+MAX(G28-C28*INDEX('01_ASSUMPTIONS'!$J$5:$J$39,MATCH("professional_included_studies",'01_ASSUMPTIONS'!$B$5:$B$39,0)),0)*INDEX('01_ASSUMPTIONS'!$J$5:$J$39,MATCH("professional_overage_fee",'01_ASSUMPTIONS'!$B$5:$B$39,0))+MAX(H28-D28*INDEX('01_ASSUMPTIONS'!$J$5:$J$39,MATCH("enterprise_included_studies",'01_ASSUMPTIONS'!$B$5:$B$39,0)),0)*INDEX('01_ASSUMPTIONS'!$J$5:$J$39,MATCH("enterprise_overage_fee",'01_ASSUMPTIONS'!$B$5:$B$39,0))</f>
        <v/>
      </c>
      <c r="L28" s="9">
        <f>J28+K28</f>
        <v/>
      </c>
      <c r="M28" s="9">
        <f>I28*INDEX('01_ASSUMPTIONS'!$J$5:$J$39,MATCH("cloud_cost_per_study",'01_ASSUMPTIONS'!$B$5:$B$39,0))</f>
        <v/>
      </c>
      <c r="N28" s="9">
        <f>I28*INDEX('01_ASSUMPTIONS'!$J$5:$J$39,MATCH("storage_cost_per_study",'01_ASSUMPTIONS'!$B$5:$B$39,0))</f>
        <v/>
      </c>
      <c r="O28" s="9">
        <f>I28*INDEX('01_ASSUMPTIONS'!$J$5:$J$39,MATCH("ai_processing_cost_per_study",'01_ASSUMPTIONS'!$B$5:$B$39,0))</f>
        <v/>
      </c>
      <c r="P28" s="9">
        <f>E28*INDEX('01_ASSUMPTIONS'!$J$5:$J$39,MATCH("variable_support_per_customer",'01_ASSUMPTIONS'!$B$5:$B$39,0))</f>
        <v/>
      </c>
      <c r="Q28" s="9">
        <f>SUM(M28:P28)</f>
        <v/>
      </c>
      <c r="R28" s="9">
        <f>INDEX('01_ASSUMPTIONS'!$J$5:$J$39,MATCH("fixed_infra",'01_ASSUMPTIONS'!$B$5:$B$39,0))</f>
        <v/>
      </c>
      <c r="S28" s="9">
        <f>INDEX('01_ASSUMPTIONS'!$J$5:$J$39,MATCH("software_maintenance",'01_ASSUMPTIONS'!$B$5:$B$39,0))</f>
        <v/>
      </c>
      <c r="T28" s="9">
        <f>INDEX('01_ASSUMPTIONS'!$J$5:$J$39,MATCH("base_support",'01_ASSUMPTIONS'!$B$5:$B$39,0))</f>
        <v/>
      </c>
      <c r="U28" s="9">
        <f>INDEX('01_ASSUMPTIONS'!$J$5:$J$39,MATCH("admin",'01_ASSUMPTIONS'!$B$5:$B$39,0))</f>
        <v/>
      </c>
      <c r="V28" s="9">
        <f>INDEX('01_ASSUMPTIONS'!$J$5:$J$39,MATCH("commercial_marketing",'01_ASSUMPTIONS'!$B$5:$B$39,0))</f>
        <v/>
      </c>
      <c r="W28" s="9">
        <f>INDEX('01_ASSUMPTIONS'!$J$5:$J$39,MATCH("other_fixed",'01_ASSUMPTIONS'!$B$5:$B$39,0))</f>
        <v/>
      </c>
      <c r="X28" s="9">
        <f>SUM(R28:W28)</f>
        <v/>
      </c>
      <c r="Y28" s="9">
        <f>L28-Q28-X28</f>
        <v/>
      </c>
      <c r="Z28" s="9">
        <f>0</f>
        <v/>
      </c>
      <c r="AA28" s="9">
        <f>Y28-Z28</f>
        <v/>
      </c>
      <c r="AB28" s="8">
        <f>1/(1+'01_ASSUMPTIONS'!$E$2)^A28</f>
        <v/>
      </c>
      <c r="AC28" s="9">
        <f>AA28*AB28</f>
        <v/>
      </c>
      <c r="AD28" s="9">
        <f>AD27+AA28</f>
        <v/>
      </c>
      <c r="AE28">
        <f>IF(Y28&gt;=0,"Yes","No")</f>
        <v/>
      </c>
      <c r="AF28">
        <f>IF(AD28&gt;=0,"Yes","No")</f>
        <v/>
      </c>
    </row>
    <row r="29">
      <c r="A29">
        <f>28</f>
        <v/>
      </c>
      <c r="B29" s="10">
        <f>B28*(1-INDEX('01_ASSUMPTIONS'!$J$5:$J$39,MATCH("monthly_churn",'01_ASSUMPTIONS'!$B$5:$B$39,0)))+INDEX('01_ASSUMPTIONS'!$J$5:$J$39,MATCH("starter_monthly_acquisition",'01_ASSUMPTIONS'!$B$5:$B$39,0))</f>
        <v/>
      </c>
      <c r="C29" s="10">
        <f>C28*(1-INDEX('01_ASSUMPTIONS'!$J$5:$J$39,MATCH("monthly_churn",'01_ASSUMPTIONS'!$B$5:$B$39,0)))+INDEX('01_ASSUMPTIONS'!$J$5:$J$39,MATCH("professional_monthly_acquisition",'01_ASSUMPTIONS'!$B$5:$B$39,0))</f>
        <v/>
      </c>
      <c r="D29" s="10">
        <f>D28*(1-INDEX('01_ASSUMPTIONS'!$J$5:$J$39,MATCH("monthly_churn",'01_ASSUMPTIONS'!$B$5:$B$39,0)))+INDEX('01_ASSUMPTIONS'!$J$5:$J$39,MATCH("enterprise_monthly_acquisition",'01_ASSUMPTIONS'!$B$5:$B$39,0))</f>
        <v/>
      </c>
      <c r="E29" s="10">
        <f>SUM(B29:D29)</f>
        <v/>
      </c>
      <c r="F29" s="10">
        <f>B29*INDEX('01_ASSUMPTIONS'!$J$5:$J$39,MATCH("starter_studies_per_customer",'01_ASSUMPTIONS'!$B$5:$B$39,0))</f>
        <v/>
      </c>
      <c r="G29" s="10">
        <f>C29*INDEX('01_ASSUMPTIONS'!$J$5:$J$39,MATCH("professional_studies_per_customer",'01_ASSUMPTIONS'!$B$5:$B$39,0))</f>
        <v/>
      </c>
      <c r="H29" s="10">
        <f>D29*INDEX('01_ASSUMPTIONS'!$J$5:$J$39,MATCH("enterprise_studies_per_customer",'01_ASSUMPTIONS'!$B$5:$B$39,0))</f>
        <v/>
      </c>
      <c r="I29" s="10">
        <f>SUM(F29:H29)</f>
        <v/>
      </c>
      <c r="J29" s="9">
        <f>B29*INDEX('01_ASSUMPTIONS'!$J$5:$J$39,MATCH("starter_fee",'01_ASSUMPTIONS'!$B$5:$B$39,0))+C29*INDEX('01_ASSUMPTIONS'!$J$5:$J$39,MATCH("professional_fee",'01_ASSUMPTIONS'!$B$5:$B$39,0))+D29*INDEX('01_ASSUMPTIONS'!$J$5:$J$39,MATCH("enterprise_fee",'01_ASSUMPTIONS'!$B$5:$B$39,0))</f>
        <v/>
      </c>
      <c r="K29" s="9">
        <f>MAX(F29-B29*INDEX('01_ASSUMPTIONS'!$J$5:$J$39,MATCH("starter_included_studies",'01_ASSUMPTIONS'!$B$5:$B$39,0)),0)*INDEX('01_ASSUMPTIONS'!$J$5:$J$39,MATCH("starter_overage_fee",'01_ASSUMPTIONS'!$B$5:$B$39,0))+MAX(G29-C29*INDEX('01_ASSUMPTIONS'!$J$5:$J$39,MATCH("professional_included_studies",'01_ASSUMPTIONS'!$B$5:$B$39,0)),0)*INDEX('01_ASSUMPTIONS'!$J$5:$J$39,MATCH("professional_overage_fee",'01_ASSUMPTIONS'!$B$5:$B$39,0))+MAX(H29-D29*INDEX('01_ASSUMPTIONS'!$J$5:$J$39,MATCH("enterprise_included_studies",'01_ASSUMPTIONS'!$B$5:$B$39,0)),0)*INDEX('01_ASSUMPTIONS'!$J$5:$J$39,MATCH("enterprise_overage_fee",'01_ASSUMPTIONS'!$B$5:$B$39,0))</f>
        <v/>
      </c>
      <c r="L29" s="9">
        <f>J29+K29</f>
        <v/>
      </c>
      <c r="M29" s="9">
        <f>I29*INDEX('01_ASSUMPTIONS'!$J$5:$J$39,MATCH("cloud_cost_per_study",'01_ASSUMPTIONS'!$B$5:$B$39,0))</f>
        <v/>
      </c>
      <c r="N29" s="9">
        <f>I29*INDEX('01_ASSUMPTIONS'!$J$5:$J$39,MATCH("storage_cost_per_study",'01_ASSUMPTIONS'!$B$5:$B$39,0))</f>
        <v/>
      </c>
      <c r="O29" s="9">
        <f>I29*INDEX('01_ASSUMPTIONS'!$J$5:$J$39,MATCH("ai_processing_cost_per_study",'01_ASSUMPTIONS'!$B$5:$B$39,0))</f>
        <v/>
      </c>
      <c r="P29" s="9">
        <f>E29*INDEX('01_ASSUMPTIONS'!$J$5:$J$39,MATCH("variable_support_per_customer",'01_ASSUMPTIONS'!$B$5:$B$39,0))</f>
        <v/>
      </c>
      <c r="Q29" s="9">
        <f>SUM(M29:P29)</f>
        <v/>
      </c>
      <c r="R29" s="9">
        <f>INDEX('01_ASSUMPTIONS'!$J$5:$J$39,MATCH("fixed_infra",'01_ASSUMPTIONS'!$B$5:$B$39,0))</f>
        <v/>
      </c>
      <c r="S29" s="9">
        <f>INDEX('01_ASSUMPTIONS'!$J$5:$J$39,MATCH("software_maintenance",'01_ASSUMPTIONS'!$B$5:$B$39,0))</f>
        <v/>
      </c>
      <c r="T29" s="9">
        <f>INDEX('01_ASSUMPTIONS'!$J$5:$J$39,MATCH("base_support",'01_ASSUMPTIONS'!$B$5:$B$39,0))</f>
        <v/>
      </c>
      <c r="U29" s="9">
        <f>INDEX('01_ASSUMPTIONS'!$J$5:$J$39,MATCH("admin",'01_ASSUMPTIONS'!$B$5:$B$39,0))</f>
        <v/>
      </c>
      <c r="V29" s="9">
        <f>INDEX('01_ASSUMPTIONS'!$J$5:$J$39,MATCH("commercial_marketing",'01_ASSUMPTIONS'!$B$5:$B$39,0))</f>
        <v/>
      </c>
      <c r="W29" s="9">
        <f>INDEX('01_ASSUMPTIONS'!$J$5:$J$39,MATCH("other_fixed",'01_ASSUMPTIONS'!$B$5:$B$39,0))</f>
        <v/>
      </c>
      <c r="X29" s="9">
        <f>SUM(R29:W29)</f>
        <v/>
      </c>
      <c r="Y29" s="9">
        <f>L29-Q29-X29</f>
        <v/>
      </c>
      <c r="Z29" s="9">
        <f>0</f>
        <v/>
      </c>
      <c r="AA29" s="9">
        <f>Y29-Z29</f>
        <v/>
      </c>
      <c r="AB29" s="8">
        <f>1/(1+'01_ASSUMPTIONS'!$E$2)^A29</f>
        <v/>
      </c>
      <c r="AC29" s="9">
        <f>AA29*AB29</f>
        <v/>
      </c>
      <c r="AD29" s="9">
        <f>AD28+AA29</f>
        <v/>
      </c>
      <c r="AE29">
        <f>IF(Y29&gt;=0,"Yes","No")</f>
        <v/>
      </c>
      <c r="AF29">
        <f>IF(AD29&gt;=0,"Yes","No")</f>
        <v/>
      </c>
    </row>
    <row r="30">
      <c r="A30">
        <f>29</f>
        <v/>
      </c>
      <c r="B30" s="10">
        <f>B29*(1-INDEX('01_ASSUMPTIONS'!$J$5:$J$39,MATCH("monthly_churn",'01_ASSUMPTIONS'!$B$5:$B$39,0)))+INDEX('01_ASSUMPTIONS'!$J$5:$J$39,MATCH("starter_monthly_acquisition",'01_ASSUMPTIONS'!$B$5:$B$39,0))</f>
        <v/>
      </c>
      <c r="C30" s="10">
        <f>C29*(1-INDEX('01_ASSUMPTIONS'!$J$5:$J$39,MATCH("monthly_churn",'01_ASSUMPTIONS'!$B$5:$B$39,0)))+INDEX('01_ASSUMPTIONS'!$J$5:$J$39,MATCH("professional_monthly_acquisition",'01_ASSUMPTIONS'!$B$5:$B$39,0))</f>
        <v/>
      </c>
      <c r="D30" s="10">
        <f>D29*(1-INDEX('01_ASSUMPTIONS'!$J$5:$J$39,MATCH("monthly_churn",'01_ASSUMPTIONS'!$B$5:$B$39,0)))+INDEX('01_ASSUMPTIONS'!$J$5:$J$39,MATCH("enterprise_monthly_acquisition",'01_ASSUMPTIONS'!$B$5:$B$39,0))</f>
        <v/>
      </c>
      <c r="E30" s="10">
        <f>SUM(B30:D30)</f>
        <v/>
      </c>
      <c r="F30" s="10">
        <f>B30*INDEX('01_ASSUMPTIONS'!$J$5:$J$39,MATCH("starter_studies_per_customer",'01_ASSUMPTIONS'!$B$5:$B$39,0))</f>
        <v/>
      </c>
      <c r="G30" s="10">
        <f>C30*INDEX('01_ASSUMPTIONS'!$J$5:$J$39,MATCH("professional_studies_per_customer",'01_ASSUMPTIONS'!$B$5:$B$39,0))</f>
        <v/>
      </c>
      <c r="H30" s="10">
        <f>D30*INDEX('01_ASSUMPTIONS'!$J$5:$J$39,MATCH("enterprise_studies_per_customer",'01_ASSUMPTIONS'!$B$5:$B$39,0))</f>
        <v/>
      </c>
      <c r="I30" s="10">
        <f>SUM(F30:H30)</f>
        <v/>
      </c>
      <c r="J30" s="9">
        <f>B30*INDEX('01_ASSUMPTIONS'!$J$5:$J$39,MATCH("starter_fee",'01_ASSUMPTIONS'!$B$5:$B$39,0))+C30*INDEX('01_ASSUMPTIONS'!$J$5:$J$39,MATCH("professional_fee",'01_ASSUMPTIONS'!$B$5:$B$39,0))+D30*INDEX('01_ASSUMPTIONS'!$J$5:$J$39,MATCH("enterprise_fee",'01_ASSUMPTIONS'!$B$5:$B$39,0))</f>
        <v/>
      </c>
      <c r="K30" s="9">
        <f>MAX(F30-B30*INDEX('01_ASSUMPTIONS'!$J$5:$J$39,MATCH("starter_included_studies",'01_ASSUMPTIONS'!$B$5:$B$39,0)),0)*INDEX('01_ASSUMPTIONS'!$J$5:$J$39,MATCH("starter_overage_fee",'01_ASSUMPTIONS'!$B$5:$B$39,0))+MAX(G30-C30*INDEX('01_ASSUMPTIONS'!$J$5:$J$39,MATCH("professional_included_studies",'01_ASSUMPTIONS'!$B$5:$B$39,0)),0)*INDEX('01_ASSUMPTIONS'!$J$5:$J$39,MATCH("professional_overage_fee",'01_ASSUMPTIONS'!$B$5:$B$39,0))+MAX(H30-D30*INDEX('01_ASSUMPTIONS'!$J$5:$J$39,MATCH("enterprise_included_studies",'01_ASSUMPTIONS'!$B$5:$B$39,0)),0)*INDEX('01_ASSUMPTIONS'!$J$5:$J$39,MATCH("enterprise_overage_fee",'01_ASSUMPTIONS'!$B$5:$B$39,0))</f>
        <v/>
      </c>
      <c r="L30" s="9">
        <f>J30+K30</f>
        <v/>
      </c>
      <c r="M30" s="9">
        <f>I30*INDEX('01_ASSUMPTIONS'!$J$5:$J$39,MATCH("cloud_cost_per_study",'01_ASSUMPTIONS'!$B$5:$B$39,0))</f>
        <v/>
      </c>
      <c r="N30" s="9">
        <f>I30*INDEX('01_ASSUMPTIONS'!$J$5:$J$39,MATCH("storage_cost_per_study",'01_ASSUMPTIONS'!$B$5:$B$39,0))</f>
        <v/>
      </c>
      <c r="O30" s="9">
        <f>I30*INDEX('01_ASSUMPTIONS'!$J$5:$J$39,MATCH("ai_processing_cost_per_study",'01_ASSUMPTIONS'!$B$5:$B$39,0))</f>
        <v/>
      </c>
      <c r="P30" s="9">
        <f>E30*INDEX('01_ASSUMPTIONS'!$J$5:$J$39,MATCH("variable_support_per_customer",'01_ASSUMPTIONS'!$B$5:$B$39,0))</f>
        <v/>
      </c>
      <c r="Q30" s="9">
        <f>SUM(M30:P30)</f>
        <v/>
      </c>
      <c r="R30" s="9">
        <f>INDEX('01_ASSUMPTIONS'!$J$5:$J$39,MATCH("fixed_infra",'01_ASSUMPTIONS'!$B$5:$B$39,0))</f>
        <v/>
      </c>
      <c r="S30" s="9">
        <f>INDEX('01_ASSUMPTIONS'!$J$5:$J$39,MATCH("software_maintenance",'01_ASSUMPTIONS'!$B$5:$B$39,0))</f>
        <v/>
      </c>
      <c r="T30" s="9">
        <f>INDEX('01_ASSUMPTIONS'!$J$5:$J$39,MATCH("base_support",'01_ASSUMPTIONS'!$B$5:$B$39,0))</f>
        <v/>
      </c>
      <c r="U30" s="9">
        <f>INDEX('01_ASSUMPTIONS'!$J$5:$J$39,MATCH("admin",'01_ASSUMPTIONS'!$B$5:$B$39,0))</f>
        <v/>
      </c>
      <c r="V30" s="9">
        <f>INDEX('01_ASSUMPTIONS'!$J$5:$J$39,MATCH("commercial_marketing",'01_ASSUMPTIONS'!$B$5:$B$39,0))</f>
        <v/>
      </c>
      <c r="W30" s="9">
        <f>INDEX('01_ASSUMPTIONS'!$J$5:$J$39,MATCH("other_fixed",'01_ASSUMPTIONS'!$B$5:$B$39,0))</f>
        <v/>
      </c>
      <c r="X30" s="9">
        <f>SUM(R30:W30)</f>
        <v/>
      </c>
      <c r="Y30" s="9">
        <f>L30-Q30-X30</f>
        <v/>
      </c>
      <c r="Z30" s="9">
        <f>0</f>
        <v/>
      </c>
      <c r="AA30" s="9">
        <f>Y30-Z30</f>
        <v/>
      </c>
      <c r="AB30" s="8">
        <f>1/(1+'01_ASSUMPTIONS'!$E$2)^A30</f>
        <v/>
      </c>
      <c r="AC30" s="9">
        <f>AA30*AB30</f>
        <v/>
      </c>
      <c r="AD30" s="9">
        <f>AD29+AA30</f>
        <v/>
      </c>
      <c r="AE30">
        <f>IF(Y30&gt;=0,"Yes","No")</f>
        <v/>
      </c>
      <c r="AF30">
        <f>IF(AD30&gt;=0,"Yes","No")</f>
        <v/>
      </c>
    </row>
    <row r="31">
      <c r="A31">
        <f>30</f>
        <v/>
      </c>
      <c r="B31" s="10">
        <f>B30*(1-INDEX('01_ASSUMPTIONS'!$J$5:$J$39,MATCH("monthly_churn",'01_ASSUMPTIONS'!$B$5:$B$39,0)))+INDEX('01_ASSUMPTIONS'!$J$5:$J$39,MATCH("starter_monthly_acquisition",'01_ASSUMPTIONS'!$B$5:$B$39,0))</f>
        <v/>
      </c>
      <c r="C31" s="10">
        <f>C30*(1-INDEX('01_ASSUMPTIONS'!$J$5:$J$39,MATCH("monthly_churn",'01_ASSUMPTIONS'!$B$5:$B$39,0)))+INDEX('01_ASSUMPTIONS'!$J$5:$J$39,MATCH("professional_monthly_acquisition",'01_ASSUMPTIONS'!$B$5:$B$39,0))</f>
        <v/>
      </c>
      <c r="D31" s="10">
        <f>D30*(1-INDEX('01_ASSUMPTIONS'!$J$5:$J$39,MATCH("monthly_churn",'01_ASSUMPTIONS'!$B$5:$B$39,0)))+INDEX('01_ASSUMPTIONS'!$J$5:$J$39,MATCH("enterprise_monthly_acquisition",'01_ASSUMPTIONS'!$B$5:$B$39,0))</f>
        <v/>
      </c>
      <c r="E31" s="10">
        <f>SUM(B31:D31)</f>
        <v/>
      </c>
      <c r="F31" s="10">
        <f>B31*INDEX('01_ASSUMPTIONS'!$J$5:$J$39,MATCH("starter_studies_per_customer",'01_ASSUMPTIONS'!$B$5:$B$39,0))</f>
        <v/>
      </c>
      <c r="G31" s="10">
        <f>C31*INDEX('01_ASSUMPTIONS'!$J$5:$J$39,MATCH("professional_studies_per_customer",'01_ASSUMPTIONS'!$B$5:$B$39,0))</f>
        <v/>
      </c>
      <c r="H31" s="10">
        <f>D31*INDEX('01_ASSUMPTIONS'!$J$5:$J$39,MATCH("enterprise_studies_per_customer",'01_ASSUMPTIONS'!$B$5:$B$39,0))</f>
        <v/>
      </c>
      <c r="I31" s="10">
        <f>SUM(F31:H31)</f>
        <v/>
      </c>
      <c r="J31" s="9">
        <f>B31*INDEX('01_ASSUMPTIONS'!$J$5:$J$39,MATCH("starter_fee",'01_ASSUMPTIONS'!$B$5:$B$39,0))+C31*INDEX('01_ASSUMPTIONS'!$J$5:$J$39,MATCH("professional_fee",'01_ASSUMPTIONS'!$B$5:$B$39,0))+D31*INDEX('01_ASSUMPTIONS'!$J$5:$J$39,MATCH("enterprise_fee",'01_ASSUMPTIONS'!$B$5:$B$39,0))</f>
        <v/>
      </c>
      <c r="K31" s="9">
        <f>MAX(F31-B31*INDEX('01_ASSUMPTIONS'!$J$5:$J$39,MATCH("starter_included_studies",'01_ASSUMPTIONS'!$B$5:$B$39,0)),0)*INDEX('01_ASSUMPTIONS'!$J$5:$J$39,MATCH("starter_overage_fee",'01_ASSUMPTIONS'!$B$5:$B$39,0))+MAX(G31-C31*INDEX('01_ASSUMPTIONS'!$J$5:$J$39,MATCH("professional_included_studies",'01_ASSUMPTIONS'!$B$5:$B$39,0)),0)*INDEX('01_ASSUMPTIONS'!$J$5:$J$39,MATCH("professional_overage_fee",'01_ASSUMPTIONS'!$B$5:$B$39,0))+MAX(H31-D31*INDEX('01_ASSUMPTIONS'!$J$5:$J$39,MATCH("enterprise_included_studies",'01_ASSUMPTIONS'!$B$5:$B$39,0)),0)*INDEX('01_ASSUMPTIONS'!$J$5:$J$39,MATCH("enterprise_overage_fee",'01_ASSUMPTIONS'!$B$5:$B$39,0))</f>
        <v/>
      </c>
      <c r="L31" s="9">
        <f>J31+K31</f>
        <v/>
      </c>
      <c r="M31" s="9">
        <f>I31*INDEX('01_ASSUMPTIONS'!$J$5:$J$39,MATCH("cloud_cost_per_study",'01_ASSUMPTIONS'!$B$5:$B$39,0))</f>
        <v/>
      </c>
      <c r="N31" s="9">
        <f>I31*INDEX('01_ASSUMPTIONS'!$J$5:$J$39,MATCH("storage_cost_per_study",'01_ASSUMPTIONS'!$B$5:$B$39,0))</f>
        <v/>
      </c>
      <c r="O31" s="9">
        <f>I31*INDEX('01_ASSUMPTIONS'!$J$5:$J$39,MATCH("ai_processing_cost_per_study",'01_ASSUMPTIONS'!$B$5:$B$39,0))</f>
        <v/>
      </c>
      <c r="P31" s="9">
        <f>E31*INDEX('01_ASSUMPTIONS'!$J$5:$J$39,MATCH("variable_support_per_customer",'01_ASSUMPTIONS'!$B$5:$B$39,0))</f>
        <v/>
      </c>
      <c r="Q31" s="9">
        <f>SUM(M31:P31)</f>
        <v/>
      </c>
      <c r="R31" s="9">
        <f>INDEX('01_ASSUMPTIONS'!$J$5:$J$39,MATCH("fixed_infra",'01_ASSUMPTIONS'!$B$5:$B$39,0))</f>
        <v/>
      </c>
      <c r="S31" s="9">
        <f>INDEX('01_ASSUMPTIONS'!$J$5:$J$39,MATCH("software_maintenance",'01_ASSUMPTIONS'!$B$5:$B$39,0))</f>
        <v/>
      </c>
      <c r="T31" s="9">
        <f>INDEX('01_ASSUMPTIONS'!$J$5:$J$39,MATCH("base_support",'01_ASSUMPTIONS'!$B$5:$B$39,0))</f>
        <v/>
      </c>
      <c r="U31" s="9">
        <f>INDEX('01_ASSUMPTIONS'!$J$5:$J$39,MATCH("admin",'01_ASSUMPTIONS'!$B$5:$B$39,0))</f>
        <v/>
      </c>
      <c r="V31" s="9">
        <f>INDEX('01_ASSUMPTIONS'!$J$5:$J$39,MATCH("commercial_marketing",'01_ASSUMPTIONS'!$B$5:$B$39,0))</f>
        <v/>
      </c>
      <c r="W31" s="9">
        <f>INDEX('01_ASSUMPTIONS'!$J$5:$J$39,MATCH("other_fixed",'01_ASSUMPTIONS'!$B$5:$B$39,0))</f>
        <v/>
      </c>
      <c r="X31" s="9">
        <f>SUM(R31:W31)</f>
        <v/>
      </c>
      <c r="Y31" s="9">
        <f>L31-Q31-X31</f>
        <v/>
      </c>
      <c r="Z31" s="9">
        <f>0</f>
        <v/>
      </c>
      <c r="AA31" s="9">
        <f>Y31-Z31</f>
        <v/>
      </c>
      <c r="AB31" s="8">
        <f>1/(1+'01_ASSUMPTIONS'!$E$2)^A31</f>
        <v/>
      </c>
      <c r="AC31" s="9">
        <f>AA31*AB31</f>
        <v/>
      </c>
      <c r="AD31" s="9">
        <f>AD30+AA31</f>
        <v/>
      </c>
      <c r="AE31">
        <f>IF(Y31&gt;=0,"Yes","No")</f>
        <v/>
      </c>
      <c r="AF31">
        <f>IF(AD31&gt;=0,"Yes","No")</f>
        <v/>
      </c>
    </row>
    <row r="32">
      <c r="A32">
        <f>31</f>
        <v/>
      </c>
      <c r="B32" s="10">
        <f>B31*(1-INDEX('01_ASSUMPTIONS'!$J$5:$J$39,MATCH("monthly_churn",'01_ASSUMPTIONS'!$B$5:$B$39,0)))+INDEX('01_ASSUMPTIONS'!$J$5:$J$39,MATCH("starter_monthly_acquisition",'01_ASSUMPTIONS'!$B$5:$B$39,0))</f>
        <v/>
      </c>
      <c r="C32" s="10">
        <f>C31*(1-INDEX('01_ASSUMPTIONS'!$J$5:$J$39,MATCH("monthly_churn",'01_ASSUMPTIONS'!$B$5:$B$39,0)))+INDEX('01_ASSUMPTIONS'!$J$5:$J$39,MATCH("professional_monthly_acquisition",'01_ASSUMPTIONS'!$B$5:$B$39,0))</f>
        <v/>
      </c>
      <c r="D32" s="10">
        <f>D31*(1-INDEX('01_ASSUMPTIONS'!$J$5:$J$39,MATCH("monthly_churn",'01_ASSUMPTIONS'!$B$5:$B$39,0)))+INDEX('01_ASSUMPTIONS'!$J$5:$J$39,MATCH("enterprise_monthly_acquisition",'01_ASSUMPTIONS'!$B$5:$B$39,0))</f>
        <v/>
      </c>
      <c r="E32" s="10">
        <f>SUM(B32:D32)</f>
        <v/>
      </c>
      <c r="F32" s="10">
        <f>B32*INDEX('01_ASSUMPTIONS'!$J$5:$J$39,MATCH("starter_studies_per_customer",'01_ASSUMPTIONS'!$B$5:$B$39,0))</f>
        <v/>
      </c>
      <c r="G32" s="10">
        <f>C32*INDEX('01_ASSUMPTIONS'!$J$5:$J$39,MATCH("professional_studies_per_customer",'01_ASSUMPTIONS'!$B$5:$B$39,0))</f>
        <v/>
      </c>
      <c r="H32" s="10">
        <f>D32*INDEX('01_ASSUMPTIONS'!$J$5:$J$39,MATCH("enterprise_studies_per_customer",'01_ASSUMPTIONS'!$B$5:$B$39,0))</f>
        <v/>
      </c>
      <c r="I32" s="10">
        <f>SUM(F32:H32)</f>
        <v/>
      </c>
      <c r="J32" s="9">
        <f>B32*INDEX('01_ASSUMPTIONS'!$J$5:$J$39,MATCH("starter_fee",'01_ASSUMPTIONS'!$B$5:$B$39,0))+C32*INDEX('01_ASSUMPTIONS'!$J$5:$J$39,MATCH("professional_fee",'01_ASSUMPTIONS'!$B$5:$B$39,0))+D32*INDEX('01_ASSUMPTIONS'!$J$5:$J$39,MATCH("enterprise_fee",'01_ASSUMPTIONS'!$B$5:$B$39,0))</f>
        <v/>
      </c>
      <c r="K32" s="9">
        <f>MAX(F32-B32*INDEX('01_ASSUMPTIONS'!$J$5:$J$39,MATCH("starter_included_studies",'01_ASSUMPTIONS'!$B$5:$B$39,0)),0)*INDEX('01_ASSUMPTIONS'!$J$5:$J$39,MATCH("starter_overage_fee",'01_ASSUMPTIONS'!$B$5:$B$39,0))+MAX(G32-C32*INDEX('01_ASSUMPTIONS'!$J$5:$J$39,MATCH("professional_included_studies",'01_ASSUMPTIONS'!$B$5:$B$39,0)),0)*INDEX('01_ASSUMPTIONS'!$J$5:$J$39,MATCH("professional_overage_fee",'01_ASSUMPTIONS'!$B$5:$B$39,0))+MAX(H32-D32*INDEX('01_ASSUMPTIONS'!$J$5:$J$39,MATCH("enterprise_included_studies",'01_ASSUMPTIONS'!$B$5:$B$39,0)),0)*INDEX('01_ASSUMPTIONS'!$J$5:$J$39,MATCH("enterprise_overage_fee",'01_ASSUMPTIONS'!$B$5:$B$39,0))</f>
        <v/>
      </c>
      <c r="L32" s="9">
        <f>J32+K32</f>
        <v/>
      </c>
      <c r="M32" s="9">
        <f>I32*INDEX('01_ASSUMPTIONS'!$J$5:$J$39,MATCH("cloud_cost_per_study",'01_ASSUMPTIONS'!$B$5:$B$39,0))</f>
        <v/>
      </c>
      <c r="N32" s="9">
        <f>I32*INDEX('01_ASSUMPTIONS'!$J$5:$J$39,MATCH("storage_cost_per_study",'01_ASSUMPTIONS'!$B$5:$B$39,0))</f>
        <v/>
      </c>
      <c r="O32" s="9">
        <f>I32*INDEX('01_ASSUMPTIONS'!$J$5:$J$39,MATCH("ai_processing_cost_per_study",'01_ASSUMPTIONS'!$B$5:$B$39,0))</f>
        <v/>
      </c>
      <c r="P32" s="9">
        <f>E32*INDEX('01_ASSUMPTIONS'!$J$5:$J$39,MATCH("variable_support_per_customer",'01_ASSUMPTIONS'!$B$5:$B$39,0))</f>
        <v/>
      </c>
      <c r="Q32" s="9">
        <f>SUM(M32:P32)</f>
        <v/>
      </c>
      <c r="R32" s="9">
        <f>INDEX('01_ASSUMPTIONS'!$J$5:$J$39,MATCH("fixed_infra",'01_ASSUMPTIONS'!$B$5:$B$39,0))</f>
        <v/>
      </c>
      <c r="S32" s="9">
        <f>INDEX('01_ASSUMPTIONS'!$J$5:$J$39,MATCH("software_maintenance",'01_ASSUMPTIONS'!$B$5:$B$39,0))</f>
        <v/>
      </c>
      <c r="T32" s="9">
        <f>INDEX('01_ASSUMPTIONS'!$J$5:$J$39,MATCH("base_support",'01_ASSUMPTIONS'!$B$5:$B$39,0))</f>
        <v/>
      </c>
      <c r="U32" s="9">
        <f>INDEX('01_ASSUMPTIONS'!$J$5:$J$39,MATCH("admin",'01_ASSUMPTIONS'!$B$5:$B$39,0))</f>
        <v/>
      </c>
      <c r="V32" s="9">
        <f>INDEX('01_ASSUMPTIONS'!$J$5:$J$39,MATCH("commercial_marketing",'01_ASSUMPTIONS'!$B$5:$B$39,0))</f>
        <v/>
      </c>
      <c r="W32" s="9">
        <f>INDEX('01_ASSUMPTIONS'!$J$5:$J$39,MATCH("other_fixed",'01_ASSUMPTIONS'!$B$5:$B$39,0))</f>
        <v/>
      </c>
      <c r="X32" s="9">
        <f>SUM(R32:W32)</f>
        <v/>
      </c>
      <c r="Y32" s="9">
        <f>L32-Q32-X32</f>
        <v/>
      </c>
      <c r="Z32" s="9">
        <f>0</f>
        <v/>
      </c>
      <c r="AA32" s="9">
        <f>Y32-Z32</f>
        <v/>
      </c>
      <c r="AB32" s="8">
        <f>1/(1+'01_ASSUMPTIONS'!$E$2)^A32</f>
        <v/>
      </c>
      <c r="AC32" s="9">
        <f>AA32*AB32</f>
        <v/>
      </c>
      <c r="AD32" s="9">
        <f>AD31+AA32</f>
        <v/>
      </c>
      <c r="AE32">
        <f>IF(Y32&gt;=0,"Yes","No")</f>
        <v/>
      </c>
      <c r="AF32">
        <f>IF(AD32&gt;=0,"Yes","No")</f>
        <v/>
      </c>
    </row>
    <row r="33">
      <c r="A33">
        <f>32</f>
        <v/>
      </c>
      <c r="B33" s="10">
        <f>B32*(1-INDEX('01_ASSUMPTIONS'!$J$5:$J$39,MATCH("monthly_churn",'01_ASSUMPTIONS'!$B$5:$B$39,0)))+INDEX('01_ASSUMPTIONS'!$J$5:$J$39,MATCH("starter_monthly_acquisition",'01_ASSUMPTIONS'!$B$5:$B$39,0))</f>
        <v/>
      </c>
      <c r="C33" s="10">
        <f>C32*(1-INDEX('01_ASSUMPTIONS'!$J$5:$J$39,MATCH("monthly_churn",'01_ASSUMPTIONS'!$B$5:$B$39,0)))+INDEX('01_ASSUMPTIONS'!$J$5:$J$39,MATCH("professional_monthly_acquisition",'01_ASSUMPTIONS'!$B$5:$B$39,0))</f>
        <v/>
      </c>
      <c r="D33" s="10">
        <f>D32*(1-INDEX('01_ASSUMPTIONS'!$J$5:$J$39,MATCH("monthly_churn",'01_ASSUMPTIONS'!$B$5:$B$39,0)))+INDEX('01_ASSUMPTIONS'!$J$5:$J$39,MATCH("enterprise_monthly_acquisition",'01_ASSUMPTIONS'!$B$5:$B$39,0))</f>
        <v/>
      </c>
      <c r="E33" s="10">
        <f>SUM(B33:D33)</f>
        <v/>
      </c>
      <c r="F33" s="10">
        <f>B33*INDEX('01_ASSUMPTIONS'!$J$5:$J$39,MATCH("starter_studies_per_customer",'01_ASSUMPTIONS'!$B$5:$B$39,0))</f>
        <v/>
      </c>
      <c r="G33" s="10">
        <f>C33*INDEX('01_ASSUMPTIONS'!$J$5:$J$39,MATCH("professional_studies_per_customer",'01_ASSUMPTIONS'!$B$5:$B$39,0))</f>
        <v/>
      </c>
      <c r="H33" s="10">
        <f>D33*INDEX('01_ASSUMPTIONS'!$J$5:$J$39,MATCH("enterprise_studies_per_customer",'01_ASSUMPTIONS'!$B$5:$B$39,0))</f>
        <v/>
      </c>
      <c r="I33" s="10">
        <f>SUM(F33:H33)</f>
        <v/>
      </c>
      <c r="J33" s="9">
        <f>B33*INDEX('01_ASSUMPTIONS'!$J$5:$J$39,MATCH("starter_fee",'01_ASSUMPTIONS'!$B$5:$B$39,0))+C33*INDEX('01_ASSUMPTIONS'!$J$5:$J$39,MATCH("professional_fee",'01_ASSUMPTIONS'!$B$5:$B$39,0))+D33*INDEX('01_ASSUMPTIONS'!$J$5:$J$39,MATCH("enterprise_fee",'01_ASSUMPTIONS'!$B$5:$B$39,0))</f>
        <v/>
      </c>
      <c r="K33" s="9">
        <f>MAX(F33-B33*INDEX('01_ASSUMPTIONS'!$J$5:$J$39,MATCH("starter_included_studies",'01_ASSUMPTIONS'!$B$5:$B$39,0)),0)*INDEX('01_ASSUMPTIONS'!$J$5:$J$39,MATCH("starter_overage_fee",'01_ASSUMPTIONS'!$B$5:$B$39,0))+MAX(G33-C33*INDEX('01_ASSUMPTIONS'!$J$5:$J$39,MATCH("professional_included_studies",'01_ASSUMPTIONS'!$B$5:$B$39,0)),0)*INDEX('01_ASSUMPTIONS'!$J$5:$J$39,MATCH("professional_overage_fee",'01_ASSUMPTIONS'!$B$5:$B$39,0))+MAX(H33-D33*INDEX('01_ASSUMPTIONS'!$J$5:$J$39,MATCH("enterprise_included_studies",'01_ASSUMPTIONS'!$B$5:$B$39,0)),0)*INDEX('01_ASSUMPTIONS'!$J$5:$J$39,MATCH("enterprise_overage_fee",'01_ASSUMPTIONS'!$B$5:$B$39,0))</f>
        <v/>
      </c>
      <c r="L33" s="9">
        <f>J33+K33</f>
        <v/>
      </c>
      <c r="M33" s="9">
        <f>I33*INDEX('01_ASSUMPTIONS'!$J$5:$J$39,MATCH("cloud_cost_per_study",'01_ASSUMPTIONS'!$B$5:$B$39,0))</f>
        <v/>
      </c>
      <c r="N33" s="9">
        <f>I33*INDEX('01_ASSUMPTIONS'!$J$5:$J$39,MATCH("storage_cost_per_study",'01_ASSUMPTIONS'!$B$5:$B$39,0))</f>
        <v/>
      </c>
      <c r="O33" s="9">
        <f>I33*INDEX('01_ASSUMPTIONS'!$J$5:$J$39,MATCH("ai_processing_cost_per_study",'01_ASSUMPTIONS'!$B$5:$B$39,0))</f>
        <v/>
      </c>
      <c r="P33" s="9">
        <f>E33*INDEX('01_ASSUMPTIONS'!$J$5:$J$39,MATCH("variable_support_per_customer",'01_ASSUMPTIONS'!$B$5:$B$39,0))</f>
        <v/>
      </c>
      <c r="Q33" s="9">
        <f>SUM(M33:P33)</f>
        <v/>
      </c>
      <c r="R33" s="9">
        <f>INDEX('01_ASSUMPTIONS'!$J$5:$J$39,MATCH("fixed_infra",'01_ASSUMPTIONS'!$B$5:$B$39,0))</f>
        <v/>
      </c>
      <c r="S33" s="9">
        <f>INDEX('01_ASSUMPTIONS'!$J$5:$J$39,MATCH("software_maintenance",'01_ASSUMPTIONS'!$B$5:$B$39,0))</f>
        <v/>
      </c>
      <c r="T33" s="9">
        <f>INDEX('01_ASSUMPTIONS'!$J$5:$J$39,MATCH("base_support",'01_ASSUMPTIONS'!$B$5:$B$39,0))</f>
        <v/>
      </c>
      <c r="U33" s="9">
        <f>INDEX('01_ASSUMPTIONS'!$J$5:$J$39,MATCH("admin",'01_ASSUMPTIONS'!$B$5:$B$39,0))</f>
        <v/>
      </c>
      <c r="V33" s="9">
        <f>INDEX('01_ASSUMPTIONS'!$J$5:$J$39,MATCH("commercial_marketing",'01_ASSUMPTIONS'!$B$5:$B$39,0))</f>
        <v/>
      </c>
      <c r="W33" s="9">
        <f>INDEX('01_ASSUMPTIONS'!$J$5:$J$39,MATCH("other_fixed",'01_ASSUMPTIONS'!$B$5:$B$39,0))</f>
        <v/>
      </c>
      <c r="X33" s="9">
        <f>SUM(R33:W33)</f>
        <v/>
      </c>
      <c r="Y33" s="9">
        <f>L33-Q33-X33</f>
        <v/>
      </c>
      <c r="Z33" s="9">
        <f>0</f>
        <v/>
      </c>
      <c r="AA33" s="9">
        <f>Y33-Z33</f>
        <v/>
      </c>
      <c r="AB33" s="8">
        <f>1/(1+'01_ASSUMPTIONS'!$E$2)^A33</f>
        <v/>
      </c>
      <c r="AC33" s="9">
        <f>AA33*AB33</f>
        <v/>
      </c>
      <c r="AD33" s="9">
        <f>AD32+AA33</f>
        <v/>
      </c>
      <c r="AE33">
        <f>IF(Y33&gt;=0,"Yes","No")</f>
        <v/>
      </c>
      <c r="AF33">
        <f>IF(AD33&gt;=0,"Yes","No")</f>
        <v/>
      </c>
    </row>
    <row r="34">
      <c r="A34">
        <f>33</f>
        <v/>
      </c>
      <c r="B34" s="10">
        <f>B33*(1-INDEX('01_ASSUMPTIONS'!$J$5:$J$39,MATCH("monthly_churn",'01_ASSUMPTIONS'!$B$5:$B$39,0)))+INDEX('01_ASSUMPTIONS'!$J$5:$J$39,MATCH("starter_monthly_acquisition",'01_ASSUMPTIONS'!$B$5:$B$39,0))</f>
        <v/>
      </c>
      <c r="C34" s="10">
        <f>C33*(1-INDEX('01_ASSUMPTIONS'!$J$5:$J$39,MATCH("monthly_churn",'01_ASSUMPTIONS'!$B$5:$B$39,0)))+INDEX('01_ASSUMPTIONS'!$J$5:$J$39,MATCH("professional_monthly_acquisition",'01_ASSUMPTIONS'!$B$5:$B$39,0))</f>
        <v/>
      </c>
      <c r="D34" s="10">
        <f>D33*(1-INDEX('01_ASSUMPTIONS'!$J$5:$J$39,MATCH("monthly_churn",'01_ASSUMPTIONS'!$B$5:$B$39,0)))+INDEX('01_ASSUMPTIONS'!$J$5:$J$39,MATCH("enterprise_monthly_acquisition",'01_ASSUMPTIONS'!$B$5:$B$39,0))</f>
        <v/>
      </c>
      <c r="E34" s="10">
        <f>SUM(B34:D34)</f>
        <v/>
      </c>
      <c r="F34" s="10">
        <f>B34*INDEX('01_ASSUMPTIONS'!$J$5:$J$39,MATCH("starter_studies_per_customer",'01_ASSUMPTIONS'!$B$5:$B$39,0))</f>
        <v/>
      </c>
      <c r="G34" s="10">
        <f>C34*INDEX('01_ASSUMPTIONS'!$J$5:$J$39,MATCH("professional_studies_per_customer",'01_ASSUMPTIONS'!$B$5:$B$39,0))</f>
        <v/>
      </c>
      <c r="H34" s="10">
        <f>D34*INDEX('01_ASSUMPTIONS'!$J$5:$J$39,MATCH("enterprise_studies_per_customer",'01_ASSUMPTIONS'!$B$5:$B$39,0))</f>
        <v/>
      </c>
      <c r="I34" s="10">
        <f>SUM(F34:H34)</f>
        <v/>
      </c>
      <c r="J34" s="9">
        <f>B34*INDEX('01_ASSUMPTIONS'!$J$5:$J$39,MATCH("starter_fee",'01_ASSUMPTIONS'!$B$5:$B$39,0))+C34*INDEX('01_ASSUMPTIONS'!$J$5:$J$39,MATCH("professional_fee",'01_ASSUMPTIONS'!$B$5:$B$39,0))+D34*INDEX('01_ASSUMPTIONS'!$J$5:$J$39,MATCH("enterprise_fee",'01_ASSUMPTIONS'!$B$5:$B$39,0))</f>
        <v/>
      </c>
      <c r="K34" s="9">
        <f>MAX(F34-B34*INDEX('01_ASSUMPTIONS'!$J$5:$J$39,MATCH("starter_included_studies",'01_ASSUMPTIONS'!$B$5:$B$39,0)),0)*INDEX('01_ASSUMPTIONS'!$J$5:$J$39,MATCH("starter_overage_fee",'01_ASSUMPTIONS'!$B$5:$B$39,0))+MAX(G34-C34*INDEX('01_ASSUMPTIONS'!$J$5:$J$39,MATCH("professional_included_studies",'01_ASSUMPTIONS'!$B$5:$B$39,0)),0)*INDEX('01_ASSUMPTIONS'!$J$5:$J$39,MATCH("professional_overage_fee",'01_ASSUMPTIONS'!$B$5:$B$39,0))+MAX(H34-D34*INDEX('01_ASSUMPTIONS'!$J$5:$J$39,MATCH("enterprise_included_studies",'01_ASSUMPTIONS'!$B$5:$B$39,0)),0)*INDEX('01_ASSUMPTIONS'!$J$5:$J$39,MATCH("enterprise_overage_fee",'01_ASSUMPTIONS'!$B$5:$B$39,0))</f>
        <v/>
      </c>
      <c r="L34" s="9">
        <f>J34+K34</f>
        <v/>
      </c>
      <c r="M34" s="9">
        <f>I34*INDEX('01_ASSUMPTIONS'!$J$5:$J$39,MATCH("cloud_cost_per_study",'01_ASSUMPTIONS'!$B$5:$B$39,0))</f>
        <v/>
      </c>
      <c r="N34" s="9">
        <f>I34*INDEX('01_ASSUMPTIONS'!$J$5:$J$39,MATCH("storage_cost_per_study",'01_ASSUMPTIONS'!$B$5:$B$39,0))</f>
        <v/>
      </c>
      <c r="O34" s="9">
        <f>I34*INDEX('01_ASSUMPTIONS'!$J$5:$J$39,MATCH("ai_processing_cost_per_study",'01_ASSUMPTIONS'!$B$5:$B$39,0))</f>
        <v/>
      </c>
      <c r="P34" s="9">
        <f>E34*INDEX('01_ASSUMPTIONS'!$J$5:$J$39,MATCH("variable_support_per_customer",'01_ASSUMPTIONS'!$B$5:$B$39,0))</f>
        <v/>
      </c>
      <c r="Q34" s="9">
        <f>SUM(M34:P34)</f>
        <v/>
      </c>
      <c r="R34" s="9">
        <f>INDEX('01_ASSUMPTIONS'!$J$5:$J$39,MATCH("fixed_infra",'01_ASSUMPTIONS'!$B$5:$B$39,0))</f>
        <v/>
      </c>
      <c r="S34" s="9">
        <f>INDEX('01_ASSUMPTIONS'!$J$5:$J$39,MATCH("software_maintenance",'01_ASSUMPTIONS'!$B$5:$B$39,0))</f>
        <v/>
      </c>
      <c r="T34" s="9">
        <f>INDEX('01_ASSUMPTIONS'!$J$5:$J$39,MATCH("base_support",'01_ASSUMPTIONS'!$B$5:$B$39,0))</f>
        <v/>
      </c>
      <c r="U34" s="9">
        <f>INDEX('01_ASSUMPTIONS'!$J$5:$J$39,MATCH("admin",'01_ASSUMPTIONS'!$B$5:$B$39,0))</f>
        <v/>
      </c>
      <c r="V34" s="9">
        <f>INDEX('01_ASSUMPTIONS'!$J$5:$J$39,MATCH("commercial_marketing",'01_ASSUMPTIONS'!$B$5:$B$39,0))</f>
        <v/>
      </c>
      <c r="W34" s="9">
        <f>INDEX('01_ASSUMPTIONS'!$J$5:$J$39,MATCH("other_fixed",'01_ASSUMPTIONS'!$B$5:$B$39,0))</f>
        <v/>
      </c>
      <c r="X34" s="9">
        <f>SUM(R34:W34)</f>
        <v/>
      </c>
      <c r="Y34" s="9">
        <f>L34-Q34-X34</f>
        <v/>
      </c>
      <c r="Z34" s="9">
        <f>0</f>
        <v/>
      </c>
      <c r="AA34" s="9">
        <f>Y34-Z34</f>
        <v/>
      </c>
      <c r="AB34" s="8">
        <f>1/(1+'01_ASSUMPTIONS'!$E$2)^A34</f>
        <v/>
      </c>
      <c r="AC34" s="9">
        <f>AA34*AB34</f>
        <v/>
      </c>
      <c r="AD34" s="9">
        <f>AD33+AA34</f>
        <v/>
      </c>
      <c r="AE34">
        <f>IF(Y34&gt;=0,"Yes","No")</f>
        <v/>
      </c>
      <c r="AF34">
        <f>IF(AD34&gt;=0,"Yes","No")</f>
        <v/>
      </c>
    </row>
    <row r="35">
      <c r="A35">
        <f>34</f>
        <v/>
      </c>
      <c r="B35" s="10">
        <f>B34*(1-INDEX('01_ASSUMPTIONS'!$J$5:$J$39,MATCH("monthly_churn",'01_ASSUMPTIONS'!$B$5:$B$39,0)))+INDEX('01_ASSUMPTIONS'!$J$5:$J$39,MATCH("starter_monthly_acquisition",'01_ASSUMPTIONS'!$B$5:$B$39,0))</f>
        <v/>
      </c>
      <c r="C35" s="10">
        <f>C34*(1-INDEX('01_ASSUMPTIONS'!$J$5:$J$39,MATCH("monthly_churn",'01_ASSUMPTIONS'!$B$5:$B$39,0)))+INDEX('01_ASSUMPTIONS'!$J$5:$J$39,MATCH("professional_monthly_acquisition",'01_ASSUMPTIONS'!$B$5:$B$39,0))</f>
        <v/>
      </c>
      <c r="D35" s="10">
        <f>D34*(1-INDEX('01_ASSUMPTIONS'!$J$5:$J$39,MATCH("monthly_churn",'01_ASSUMPTIONS'!$B$5:$B$39,0)))+INDEX('01_ASSUMPTIONS'!$J$5:$J$39,MATCH("enterprise_monthly_acquisition",'01_ASSUMPTIONS'!$B$5:$B$39,0))</f>
        <v/>
      </c>
      <c r="E35" s="10">
        <f>SUM(B35:D35)</f>
        <v/>
      </c>
      <c r="F35" s="10">
        <f>B35*INDEX('01_ASSUMPTIONS'!$J$5:$J$39,MATCH("starter_studies_per_customer",'01_ASSUMPTIONS'!$B$5:$B$39,0))</f>
        <v/>
      </c>
      <c r="G35" s="10">
        <f>C35*INDEX('01_ASSUMPTIONS'!$J$5:$J$39,MATCH("professional_studies_per_customer",'01_ASSUMPTIONS'!$B$5:$B$39,0))</f>
        <v/>
      </c>
      <c r="H35" s="10">
        <f>D35*INDEX('01_ASSUMPTIONS'!$J$5:$J$39,MATCH("enterprise_studies_per_customer",'01_ASSUMPTIONS'!$B$5:$B$39,0))</f>
        <v/>
      </c>
      <c r="I35" s="10">
        <f>SUM(F35:H35)</f>
        <v/>
      </c>
      <c r="J35" s="9">
        <f>B35*INDEX('01_ASSUMPTIONS'!$J$5:$J$39,MATCH("starter_fee",'01_ASSUMPTIONS'!$B$5:$B$39,0))+C35*INDEX('01_ASSUMPTIONS'!$J$5:$J$39,MATCH("professional_fee",'01_ASSUMPTIONS'!$B$5:$B$39,0))+D35*INDEX('01_ASSUMPTIONS'!$J$5:$J$39,MATCH("enterprise_fee",'01_ASSUMPTIONS'!$B$5:$B$39,0))</f>
        <v/>
      </c>
      <c r="K35" s="9">
        <f>MAX(F35-B35*INDEX('01_ASSUMPTIONS'!$J$5:$J$39,MATCH("starter_included_studies",'01_ASSUMPTIONS'!$B$5:$B$39,0)),0)*INDEX('01_ASSUMPTIONS'!$J$5:$J$39,MATCH("starter_overage_fee",'01_ASSUMPTIONS'!$B$5:$B$39,0))+MAX(G35-C35*INDEX('01_ASSUMPTIONS'!$J$5:$J$39,MATCH("professional_included_studies",'01_ASSUMPTIONS'!$B$5:$B$39,0)),0)*INDEX('01_ASSUMPTIONS'!$J$5:$J$39,MATCH("professional_overage_fee",'01_ASSUMPTIONS'!$B$5:$B$39,0))+MAX(H35-D35*INDEX('01_ASSUMPTIONS'!$J$5:$J$39,MATCH("enterprise_included_studies",'01_ASSUMPTIONS'!$B$5:$B$39,0)),0)*INDEX('01_ASSUMPTIONS'!$J$5:$J$39,MATCH("enterprise_overage_fee",'01_ASSUMPTIONS'!$B$5:$B$39,0))</f>
        <v/>
      </c>
      <c r="L35" s="9">
        <f>J35+K35</f>
        <v/>
      </c>
      <c r="M35" s="9">
        <f>I35*INDEX('01_ASSUMPTIONS'!$J$5:$J$39,MATCH("cloud_cost_per_study",'01_ASSUMPTIONS'!$B$5:$B$39,0))</f>
        <v/>
      </c>
      <c r="N35" s="9">
        <f>I35*INDEX('01_ASSUMPTIONS'!$J$5:$J$39,MATCH("storage_cost_per_study",'01_ASSUMPTIONS'!$B$5:$B$39,0))</f>
        <v/>
      </c>
      <c r="O35" s="9">
        <f>I35*INDEX('01_ASSUMPTIONS'!$J$5:$J$39,MATCH("ai_processing_cost_per_study",'01_ASSUMPTIONS'!$B$5:$B$39,0))</f>
        <v/>
      </c>
      <c r="P35" s="9">
        <f>E35*INDEX('01_ASSUMPTIONS'!$J$5:$J$39,MATCH("variable_support_per_customer",'01_ASSUMPTIONS'!$B$5:$B$39,0))</f>
        <v/>
      </c>
      <c r="Q35" s="9">
        <f>SUM(M35:P35)</f>
        <v/>
      </c>
      <c r="R35" s="9">
        <f>INDEX('01_ASSUMPTIONS'!$J$5:$J$39,MATCH("fixed_infra",'01_ASSUMPTIONS'!$B$5:$B$39,0))</f>
        <v/>
      </c>
      <c r="S35" s="9">
        <f>INDEX('01_ASSUMPTIONS'!$J$5:$J$39,MATCH("software_maintenance",'01_ASSUMPTIONS'!$B$5:$B$39,0))</f>
        <v/>
      </c>
      <c r="T35" s="9">
        <f>INDEX('01_ASSUMPTIONS'!$J$5:$J$39,MATCH("base_support",'01_ASSUMPTIONS'!$B$5:$B$39,0))</f>
        <v/>
      </c>
      <c r="U35" s="9">
        <f>INDEX('01_ASSUMPTIONS'!$J$5:$J$39,MATCH("admin",'01_ASSUMPTIONS'!$B$5:$B$39,0))</f>
        <v/>
      </c>
      <c r="V35" s="9">
        <f>INDEX('01_ASSUMPTIONS'!$J$5:$J$39,MATCH("commercial_marketing",'01_ASSUMPTIONS'!$B$5:$B$39,0))</f>
        <v/>
      </c>
      <c r="W35" s="9">
        <f>INDEX('01_ASSUMPTIONS'!$J$5:$J$39,MATCH("other_fixed",'01_ASSUMPTIONS'!$B$5:$B$39,0))</f>
        <v/>
      </c>
      <c r="X35" s="9">
        <f>SUM(R35:W35)</f>
        <v/>
      </c>
      <c r="Y35" s="9">
        <f>L35-Q35-X35</f>
        <v/>
      </c>
      <c r="Z35" s="9">
        <f>0</f>
        <v/>
      </c>
      <c r="AA35" s="9">
        <f>Y35-Z35</f>
        <v/>
      </c>
      <c r="AB35" s="8">
        <f>1/(1+'01_ASSUMPTIONS'!$E$2)^A35</f>
        <v/>
      </c>
      <c r="AC35" s="9">
        <f>AA35*AB35</f>
        <v/>
      </c>
      <c r="AD35" s="9">
        <f>AD34+AA35</f>
        <v/>
      </c>
      <c r="AE35">
        <f>IF(Y35&gt;=0,"Yes","No")</f>
        <v/>
      </c>
      <c r="AF35">
        <f>IF(AD35&gt;=0,"Yes","No")</f>
        <v/>
      </c>
    </row>
    <row r="36">
      <c r="A36">
        <f>35</f>
        <v/>
      </c>
      <c r="B36" s="10">
        <f>B35*(1-INDEX('01_ASSUMPTIONS'!$J$5:$J$39,MATCH("monthly_churn",'01_ASSUMPTIONS'!$B$5:$B$39,0)))+INDEX('01_ASSUMPTIONS'!$J$5:$J$39,MATCH("starter_monthly_acquisition",'01_ASSUMPTIONS'!$B$5:$B$39,0))</f>
        <v/>
      </c>
      <c r="C36" s="10">
        <f>C35*(1-INDEX('01_ASSUMPTIONS'!$J$5:$J$39,MATCH("monthly_churn",'01_ASSUMPTIONS'!$B$5:$B$39,0)))+INDEX('01_ASSUMPTIONS'!$J$5:$J$39,MATCH("professional_monthly_acquisition",'01_ASSUMPTIONS'!$B$5:$B$39,0))</f>
        <v/>
      </c>
      <c r="D36" s="10">
        <f>D35*(1-INDEX('01_ASSUMPTIONS'!$J$5:$J$39,MATCH("monthly_churn",'01_ASSUMPTIONS'!$B$5:$B$39,0)))+INDEX('01_ASSUMPTIONS'!$J$5:$J$39,MATCH("enterprise_monthly_acquisition",'01_ASSUMPTIONS'!$B$5:$B$39,0))</f>
        <v/>
      </c>
      <c r="E36" s="10">
        <f>SUM(B36:D36)</f>
        <v/>
      </c>
      <c r="F36" s="10">
        <f>B36*INDEX('01_ASSUMPTIONS'!$J$5:$J$39,MATCH("starter_studies_per_customer",'01_ASSUMPTIONS'!$B$5:$B$39,0))</f>
        <v/>
      </c>
      <c r="G36" s="10">
        <f>C36*INDEX('01_ASSUMPTIONS'!$J$5:$J$39,MATCH("professional_studies_per_customer",'01_ASSUMPTIONS'!$B$5:$B$39,0))</f>
        <v/>
      </c>
      <c r="H36" s="10">
        <f>D36*INDEX('01_ASSUMPTIONS'!$J$5:$J$39,MATCH("enterprise_studies_per_customer",'01_ASSUMPTIONS'!$B$5:$B$39,0))</f>
        <v/>
      </c>
      <c r="I36" s="10">
        <f>SUM(F36:H36)</f>
        <v/>
      </c>
      <c r="J36" s="9">
        <f>B36*INDEX('01_ASSUMPTIONS'!$J$5:$J$39,MATCH("starter_fee",'01_ASSUMPTIONS'!$B$5:$B$39,0))+C36*INDEX('01_ASSUMPTIONS'!$J$5:$J$39,MATCH("professional_fee",'01_ASSUMPTIONS'!$B$5:$B$39,0))+D36*INDEX('01_ASSUMPTIONS'!$J$5:$J$39,MATCH("enterprise_fee",'01_ASSUMPTIONS'!$B$5:$B$39,0))</f>
        <v/>
      </c>
      <c r="K36" s="9">
        <f>MAX(F36-B36*INDEX('01_ASSUMPTIONS'!$J$5:$J$39,MATCH("starter_included_studies",'01_ASSUMPTIONS'!$B$5:$B$39,0)),0)*INDEX('01_ASSUMPTIONS'!$J$5:$J$39,MATCH("starter_overage_fee",'01_ASSUMPTIONS'!$B$5:$B$39,0))+MAX(G36-C36*INDEX('01_ASSUMPTIONS'!$J$5:$J$39,MATCH("professional_included_studies",'01_ASSUMPTIONS'!$B$5:$B$39,0)),0)*INDEX('01_ASSUMPTIONS'!$J$5:$J$39,MATCH("professional_overage_fee",'01_ASSUMPTIONS'!$B$5:$B$39,0))+MAX(H36-D36*INDEX('01_ASSUMPTIONS'!$J$5:$J$39,MATCH("enterprise_included_studies",'01_ASSUMPTIONS'!$B$5:$B$39,0)),0)*INDEX('01_ASSUMPTIONS'!$J$5:$J$39,MATCH("enterprise_overage_fee",'01_ASSUMPTIONS'!$B$5:$B$39,0))</f>
        <v/>
      </c>
      <c r="L36" s="9">
        <f>J36+K36</f>
        <v/>
      </c>
      <c r="M36" s="9">
        <f>I36*INDEX('01_ASSUMPTIONS'!$J$5:$J$39,MATCH("cloud_cost_per_study",'01_ASSUMPTIONS'!$B$5:$B$39,0))</f>
        <v/>
      </c>
      <c r="N36" s="9">
        <f>I36*INDEX('01_ASSUMPTIONS'!$J$5:$J$39,MATCH("storage_cost_per_study",'01_ASSUMPTIONS'!$B$5:$B$39,0))</f>
        <v/>
      </c>
      <c r="O36" s="9">
        <f>I36*INDEX('01_ASSUMPTIONS'!$J$5:$J$39,MATCH("ai_processing_cost_per_study",'01_ASSUMPTIONS'!$B$5:$B$39,0))</f>
        <v/>
      </c>
      <c r="P36" s="9">
        <f>E36*INDEX('01_ASSUMPTIONS'!$J$5:$J$39,MATCH("variable_support_per_customer",'01_ASSUMPTIONS'!$B$5:$B$39,0))</f>
        <v/>
      </c>
      <c r="Q36" s="9">
        <f>SUM(M36:P36)</f>
        <v/>
      </c>
      <c r="R36" s="9">
        <f>INDEX('01_ASSUMPTIONS'!$J$5:$J$39,MATCH("fixed_infra",'01_ASSUMPTIONS'!$B$5:$B$39,0))</f>
        <v/>
      </c>
      <c r="S36" s="9">
        <f>INDEX('01_ASSUMPTIONS'!$J$5:$J$39,MATCH("software_maintenance",'01_ASSUMPTIONS'!$B$5:$B$39,0))</f>
        <v/>
      </c>
      <c r="T36" s="9">
        <f>INDEX('01_ASSUMPTIONS'!$J$5:$J$39,MATCH("base_support",'01_ASSUMPTIONS'!$B$5:$B$39,0))</f>
        <v/>
      </c>
      <c r="U36" s="9">
        <f>INDEX('01_ASSUMPTIONS'!$J$5:$J$39,MATCH("admin",'01_ASSUMPTIONS'!$B$5:$B$39,0))</f>
        <v/>
      </c>
      <c r="V36" s="9">
        <f>INDEX('01_ASSUMPTIONS'!$J$5:$J$39,MATCH("commercial_marketing",'01_ASSUMPTIONS'!$B$5:$B$39,0))</f>
        <v/>
      </c>
      <c r="W36" s="9">
        <f>INDEX('01_ASSUMPTIONS'!$J$5:$J$39,MATCH("other_fixed",'01_ASSUMPTIONS'!$B$5:$B$39,0))</f>
        <v/>
      </c>
      <c r="X36" s="9">
        <f>SUM(R36:W36)</f>
        <v/>
      </c>
      <c r="Y36" s="9">
        <f>L36-Q36-X36</f>
        <v/>
      </c>
      <c r="Z36" s="9">
        <f>0</f>
        <v/>
      </c>
      <c r="AA36" s="9">
        <f>Y36-Z36</f>
        <v/>
      </c>
      <c r="AB36" s="8">
        <f>1/(1+'01_ASSUMPTIONS'!$E$2)^A36</f>
        <v/>
      </c>
      <c r="AC36" s="9">
        <f>AA36*AB36</f>
        <v/>
      </c>
      <c r="AD36" s="9">
        <f>AD35+AA36</f>
        <v/>
      </c>
      <c r="AE36">
        <f>IF(Y36&gt;=0,"Yes","No")</f>
        <v/>
      </c>
      <c r="AF36">
        <f>IF(AD36&gt;=0,"Yes","No")</f>
        <v/>
      </c>
    </row>
    <row r="37">
      <c r="A37">
        <f>36</f>
        <v/>
      </c>
      <c r="B37" s="10">
        <f>B36*(1-INDEX('01_ASSUMPTIONS'!$J$5:$J$39,MATCH("monthly_churn",'01_ASSUMPTIONS'!$B$5:$B$39,0)))+INDEX('01_ASSUMPTIONS'!$J$5:$J$39,MATCH("starter_monthly_acquisition",'01_ASSUMPTIONS'!$B$5:$B$39,0))</f>
        <v/>
      </c>
      <c r="C37" s="10">
        <f>C36*(1-INDEX('01_ASSUMPTIONS'!$J$5:$J$39,MATCH("monthly_churn",'01_ASSUMPTIONS'!$B$5:$B$39,0)))+INDEX('01_ASSUMPTIONS'!$J$5:$J$39,MATCH("professional_monthly_acquisition",'01_ASSUMPTIONS'!$B$5:$B$39,0))</f>
        <v/>
      </c>
      <c r="D37" s="10">
        <f>D36*(1-INDEX('01_ASSUMPTIONS'!$J$5:$J$39,MATCH("monthly_churn",'01_ASSUMPTIONS'!$B$5:$B$39,0)))+INDEX('01_ASSUMPTIONS'!$J$5:$J$39,MATCH("enterprise_monthly_acquisition",'01_ASSUMPTIONS'!$B$5:$B$39,0))</f>
        <v/>
      </c>
      <c r="E37" s="10">
        <f>SUM(B37:D37)</f>
        <v/>
      </c>
      <c r="F37" s="10">
        <f>B37*INDEX('01_ASSUMPTIONS'!$J$5:$J$39,MATCH("starter_studies_per_customer",'01_ASSUMPTIONS'!$B$5:$B$39,0))</f>
        <v/>
      </c>
      <c r="G37" s="10">
        <f>C37*INDEX('01_ASSUMPTIONS'!$J$5:$J$39,MATCH("professional_studies_per_customer",'01_ASSUMPTIONS'!$B$5:$B$39,0))</f>
        <v/>
      </c>
      <c r="H37" s="10">
        <f>D37*INDEX('01_ASSUMPTIONS'!$J$5:$J$39,MATCH("enterprise_studies_per_customer",'01_ASSUMPTIONS'!$B$5:$B$39,0))</f>
        <v/>
      </c>
      <c r="I37" s="10">
        <f>SUM(F37:H37)</f>
        <v/>
      </c>
      <c r="J37" s="9">
        <f>B37*INDEX('01_ASSUMPTIONS'!$J$5:$J$39,MATCH("starter_fee",'01_ASSUMPTIONS'!$B$5:$B$39,0))+C37*INDEX('01_ASSUMPTIONS'!$J$5:$J$39,MATCH("professional_fee",'01_ASSUMPTIONS'!$B$5:$B$39,0))+D37*INDEX('01_ASSUMPTIONS'!$J$5:$J$39,MATCH("enterprise_fee",'01_ASSUMPTIONS'!$B$5:$B$39,0))</f>
        <v/>
      </c>
      <c r="K37" s="9">
        <f>MAX(F37-B37*INDEX('01_ASSUMPTIONS'!$J$5:$J$39,MATCH("starter_included_studies",'01_ASSUMPTIONS'!$B$5:$B$39,0)),0)*INDEX('01_ASSUMPTIONS'!$J$5:$J$39,MATCH("starter_overage_fee",'01_ASSUMPTIONS'!$B$5:$B$39,0))+MAX(G37-C37*INDEX('01_ASSUMPTIONS'!$J$5:$J$39,MATCH("professional_included_studies",'01_ASSUMPTIONS'!$B$5:$B$39,0)),0)*INDEX('01_ASSUMPTIONS'!$J$5:$J$39,MATCH("professional_overage_fee",'01_ASSUMPTIONS'!$B$5:$B$39,0))+MAX(H37-D37*INDEX('01_ASSUMPTIONS'!$J$5:$J$39,MATCH("enterprise_included_studies",'01_ASSUMPTIONS'!$B$5:$B$39,0)),0)*INDEX('01_ASSUMPTIONS'!$J$5:$J$39,MATCH("enterprise_overage_fee",'01_ASSUMPTIONS'!$B$5:$B$39,0))</f>
        <v/>
      </c>
      <c r="L37" s="9">
        <f>J37+K37</f>
        <v/>
      </c>
      <c r="M37" s="9">
        <f>I37*INDEX('01_ASSUMPTIONS'!$J$5:$J$39,MATCH("cloud_cost_per_study",'01_ASSUMPTIONS'!$B$5:$B$39,0))</f>
        <v/>
      </c>
      <c r="N37" s="9">
        <f>I37*INDEX('01_ASSUMPTIONS'!$J$5:$J$39,MATCH("storage_cost_per_study",'01_ASSUMPTIONS'!$B$5:$B$39,0))</f>
        <v/>
      </c>
      <c r="O37" s="9">
        <f>I37*INDEX('01_ASSUMPTIONS'!$J$5:$J$39,MATCH("ai_processing_cost_per_study",'01_ASSUMPTIONS'!$B$5:$B$39,0))</f>
        <v/>
      </c>
      <c r="P37" s="9">
        <f>E37*INDEX('01_ASSUMPTIONS'!$J$5:$J$39,MATCH("variable_support_per_customer",'01_ASSUMPTIONS'!$B$5:$B$39,0))</f>
        <v/>
      </c>
      <c r="Q37" s="9">
        <f>SUM(M37:P37)</f>
        <v/>
      </c>
      <c r="R37" s="9">
        <f>INDEX('01_ASSUMPTIONS'!$J$5:$J$39,MATCH("fixed_infra",'01_ASSUMPTIONS'!$B$5:$B$39,0))</f>
        <v/>
      </c>
      <c r="S37" s="9">
        <f>INDEX('01_ASSUMPTIONS'!$J$5:$J$39,MATCH("software_maintenance",'01_ASSUMPTIONS'!$B$5:$B$39,0))</f>
        <v/>
      </c>
      <c r="T37" s="9">
        <f>INDEX('01_ASSUMPTIONS'!$J$5:$J$39,MATCH("base_support",'01_ASSUMPTIONS'!$B$5:$B$39,0))</f>
        <v/>
      </c>
      <c r="U37" s="9">
        <f>INDEX('01_ASSUMPTIONS'!$J$5:$J$39,MATCH("admin",'01_ASSUMPTIONS'!$B$5:$B$39,0))</f>
        <v/>
      </c>
      <c r="V37" s="9">
        <f>INDEX('01_ASSUMPTIONS'!$J$5:$J$39,MATCH("commercial_marketing",'01_ASSUMPTIONS'!$B$5:$B$39,0))</f>
        <v/>
      </c>
      <c r="W37" s="9">
        <f>INDEX('01_ASSUMPTIONS'!$J$5:$J$39,MATCH("other_fixed",'01_ASSUMPTIONS'!$B$5:$B$39,0))</f>
        <v/>
      </c>
      <c r="X37" s="9">
        <f>SUM(R37:W37)</f>
        <v/>
      </c>
      <c r="Y37" s="9">
        <f>L37-Q37-X37</f>
        <v/>
      </c>
      <c r="Z37" s="9">
        <f>0</f>
        <v/>
      </c>
      <c r="AA37" s="9">
        <f>Y37-Z37</f>
        <v/>
      </c>
      <c r="AB37" s="8">
        <f>1/(1+'01_ASSUMPTIONS'!$E$2)^A37</f>
        <v/>
      </c>
      <c r="AC37" s="9">
        <f>AA37*AB37</f>
        <v/>
      </c>
      <c r="AD37" s="9">
        <f>AD36+AA37</f>
        <v/>
      </c>
      <c r="AE37">
        <f>IF(Y37&gt;=0,"Yes","No")</f>
        <v/>
      </c>
      <c r="AF37">
        <f>IF(AD37&gt;=0,"Yes","No")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6.6299991607666" customWidth="1" min="2" max="2"/>
    <col width="36" customWidth="1" min="3" max="3"/>
  </cols>
  <sheetData>
    <row r="1">
      <c r="A1" s="4" t="inlineStr">
        <is>
          <t>Metric</t>
        </is>
      </c>
      <c r="B1" s="4" t="inlineStr">
        <is>
          <t>Active scenario value</t>
        </is>
      </c>
      <c r="C1" s="4" t="inlineStr">
        <is>
          <t>Formula / interpretation</t>
        </is>
      </c>
    </row>
    <row r="2">
      <c r="A2" t="inlineStr">
        <is>
          <t>Active scenario</t>
        </is>
      </c>
      <c r="B2">
        <f>'01_ASSUMPTIONS'!B2</f>
        <v/>
      </c>
      <c r="C2" t="inlineStr">
        <is>
          <t>Selected case</t>
        </is>
      </c>
    </row>
    <row r="3">
      <c r="A3" t="inlineStr">
        <is>
          <t>MRR month 36</t>
        </is>
      </c>
      <c r="B3" s="9">
        <f>'04_CASH_FLOW'!L37</f>
        <v/>
      </c>
      <c r="C3" t="inlineStr">
        <is>
          <t>Month 36 total revenue</t>
        </is>
      </c>
    </row>
    <row r="4">
      <c r="A4" t="inlineStr">
        <is>
          <t>ARR run-rate month 36</t>
        </is>
      </c>
      <c r="B4" s="9">
        <f>B3*12</f>
        <v/>
      </c>
      <c r="C4" t="inlineStr">
        <is>
          <t>MRR x 12</t>
        </is>
      </c>
    </row>
    <row r="5">
      <c r="A5" t="inlineStr">
        <is>
          <t>Active customers month 36</t>
        </is>
      </c>
      <c r="B5" s="10">
        <f>'04_CASH_FLOW'!E37</f>
        <v/>
      </c>
      <c r="C5" t="inlineStr">
        <is>
          <t>Total active customers</t>
        </is>
      </c>
    </row>
    <row r="6">
      <c r="A6" t="inlineStr">
        <is>
          <t>Studies month 36</t>
        </is>
      </c>
      <c r="B6" s="10">
        <f>'04_CASH_FLOW'!I37</f>
        <v/>
      </c>
      <c r="C6" t="inlineStr">
        <is>
          <t>Total processed studies</t>
        </is>
      </c>
    </row>
    <row r="7">
      <c r="A7" t="inlineStr">
        <is>
          <t>Gross margin month 36</t>
        </is>
      </c>
      <c r="B7" s="8">
        <f>('04_CASH_FLOW'!L37-'04_CASH_FLOW'!M37-'04_CASH_FLOW'!N37-'04_CASH_FLOW'!O37)/'04_CASH_FLOW'!L37</f>
        <v/>
      </c>
      <c r="C7" t="inlineStr">
        <is>
          <t>Revenue less compute/storage/AI variable costs</t>
        </is>
      </c>
    </row>
    <row r="8">
      <c r="A8" t="inlineStr">
        <is>
          <t>Monthly burn month 1</t>
        </is>
      </c>
      <c r="B8" s="9">
        <f>-MIN('04_CASH_FLOW'!AA2,0)</f>
        <v/>
      </c>
      <c r="C8" t="inlineStr">
        <is>
          <t>Initial negative net cash flow if any</t>
        </is>
      </c>
    </row>
    <row r="9">
      <c r="A9" t="inlineStr">
        <is>
          <t>Cumulative cash month 36</t>
        </is>
      </c>
      <c r="B9" s="9">
        <f>'04_CASH_FLOW'!AD37</f>
        <v/>
      </c>
      <c r="C9" t="inlineStr">
        <is>
          <t>Cumulative net cash flow</t>
        </is>
      </c>
    </row>
    <row r="10">
      <c r="A10" t="inlineStr">
        <is>
          <t>Revenue per study month 36</t>
        </is>
      </c>
      <c r="B10" s="9">
        <f>B3/B6</f>
        <v/>
      </c>
      <c r="C10" t="inlineStr">
        <is>
          <t>MRR / studies</t>
        </is>
      </c>
    </row>
    <row r="11">
      <c r="A11" t="inlineStr">
        <is>
          <t>Operating break-even month</t>
        </is>
      </c>
      <c r="B11">
        <f>IF(COUNTIF('04_CASH_FLOW'!AE2:AE37,"Yes")=0,"&gt;36 months",MATCH("Yes",'04_CASH_FLOW'!AE2:AE37,0))</f>
        <v/>
      </c>
      <c r="C11" t="inlineStr">
        <is>
          <t>First month with EBITDA &gt;= 0</t>
        </is>
      </c>
    </row>
    <row r="12">
      <c r="A12" t="inlineStr">
        <is>
          <t>Payback month</t>
        </is>
      </c>
      <c r="B12">
        <f>IF(COUNTIF('04_CASH_FLOW'!AF2:AF37,"Yes")=0,"&gt;36 months",MATCH("Yes",'04_CASH_FLOW'!AF2:AF37,0))</f>
        <v/>
      </c>
      <c r="C12" t="inlineStr">
        <is>
          <t>First month with cumulative cash &gt;= 0</t>
        </is>
      </c>
    </row>
    <row r="13">
      <c r="A13" t="inlineStr">
        <is>
          <t>VAN / NPV</t>
        </is>
      </c>
      <c r="B13" s="9">
        <f>SUM('04_CASH_FLOW'!AC2:AC37)</f>
        <v/>
      </c>
      <c r="C13" t="inlineStr">
        <is>
          <t>Discounted net cash flow</t>
        </is>
      </c>
    </row>
    <row r="14">
      <c r="A14" t="inlineStr">
        <is>
          <t>TIR monthly</t>
        </is>
      </c>
      <c r="B14" s="8">
        <f>IFERROR(IRR('04_CASH_FLOW'!AA2:AA37),"n.a.")</f>
        <v/>
      </c>
      <c r="C14" t="inlineStr">
        <is>
          <t>Monthly IRR if sign pattern permits</t>
        </is>
      </c>
    </row>
    <row r="15">
      <c r="A15" t="inlineStr">
        <is>
          <t>TIR annualized</t>
        </is>
      </c>
      <c r="B15" s="8">
        <f>IFERROR((1+B14)^12-1,"n.a.")</f>
        <v/>
      </c>
      <c r="C15" t="inlineStr">
        <is>
          <t>Annualized monthly IRR</t>
        </is>
      </c>
    </row>
    <row r="16">
      <c r="A16" t="inlineStr">
        <is>
          <t>Total revenue 36M</t>
        </is>
      </c>
      <c r="B16" s="9">
        <f>SUM('04_CASH_FLOW'!L2:L37)</f>
        <v/>
      </c>
      <c r="C16" t="inlineStr">
        <is>
          <t>36-month total revenue</t>
        </is>
      </c>
    </row>
    <row r="17">
      <c r="A17" t="inlineStr">
        <is>
          <t>Total studies 36M</t>
        </is>
      </c>
      <c r="B17" s="10">
        <f>SUM('04_CASH_FLOW'!I2:I37)</f>
        <v/>
      </c>
      <c r="C17" t="inlineStr">
        <is>
          <t>36-month processed studies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.75" customWidth="1" min="1" max="1"/>
    <col width="135.1300048828125" customWidth="1" min="2" max="2"/>
    <col width="10.38000011444092" customWidth="1" min="3" max="3"/>
    <col width="16.3799991607666" customWidth="1" min="4" max="4"/>
    <col width="13.88000011444092" customWidth="1" min="5" max="5"/>
    <col width="18.25" customWidth="1" min="6" max="6"/>
    <col width="14.63000011444092" customWidth="1" min="7" max="7"/>
    <col width="12.25" customWidth="1" min="8" max="8"/>
    <col width="8.75" customWidth="1" min="9" max="9"/>
    <col width="11.63000011444092" customWidth="1" min="10" max="10"/>
  </cols>
  <sheetData>
    <row r="1">
      <c r="A1" s="4" t="inlineStr">
        <is>
          <t>Scenario</t>
        </is>
      </c>
      <c r="B1" s="4" t="inlineStr">
        <is>
          <t>MRR month 36</t>
        </is>
      </c>
      <c r="C1" s="4" t="inlineStr">
        <is>
          <t>ARR run-rate</t>
        </is>
      </c>
      <c r="D1" s="4" t="inlineStr">
        <is>
          <t>Customers month 36</t>
        </is>
      </c>
      <c r="E1" s="4" t="inlineStr">
        <is>
          <t>Studies month 36</t>
        </is>
      </c>
      <c r="F1" s="4" t="inlineStr">
        <is>
          <t>Gross margin month 36</t>
        </is>
      </c>
      <c r="G1" s="4" t="inlineStr">
        <is>
          <t>Break-even month</t>
        </is>
      </c>
      <c r="H1" s="4" t="inlineStr">
        <is>
          <t>Payback month</t>
        </is>
      </c>
      <c r="I1" s="4" t="inlineStr">
        <is>
          <t>VAN / NPV</t>
        </is>
      </c>
      <c r="J1" s="4" t="inlineStr">
        <is>
          <t>TIR annualized</t>
        </is>
      </c>
    </row>
    <row r="2">
      <c r="A2" t="inlineStr">
        <is>
          <t>Pesimista</t>
        </is>
      </c>
      <c r="B2" s="9" t="n">
        <v>2147</v>
      </c>
      <c r="C2" s="9" t="n">
        <v>25769</v>
      </c>
      <c r="D2" s="10" t="n">
        <v>3.923112759130942</v>
      </c>
      <c r="E2" s="10" t="n">
        <v>431.5424035044036</v>
      </c>
      <c r="F2" s="8" t="n">
        <v>0.8874615384615385</v>
      </c>
      <c r="G2" t="inlineStr">
        <is>
          <t>&gt;36 months</t>
        </is>
      </c>
      <c r="H2" t="inlineStr">
        <is>
          <t>&gt;36 months</t>
        </is>
      </c>
      <c r="I2" s="9" t="n">
        <v>-108823</v>
      </c>
      <c r="J2" s="8" t="inlineStr">
        <is>
          <t>n.a.</t>
        </is>
      </c>
    </row>
    <row r="3">
      <c r="A3" t="inlineStr">
        <is>
          <t>Base</t>
        </is>
      </c>
      <c r="B3" s="9" t="n">
        <v>16175</v>
      </c>
      <c r="C3" s="9" t="n">
        <v>194098</v>
      </c>
      <c r="D3" s="10" t="n">
        <v>13.41274641547516</v>
      </c>
      <c r="E3" s="10" t="n">
        <v>4185.47500323976</v>
      </c>
      <c r="F3" s="8" t="n">
        <v>0.9456593406870091</v>
      </c>
      <c r="G3" t="n">
        <v>17</v>
      </c>
      <c r="H3" t="inlineStr">
        <is>
          <t>&gt;36 months</t>
        </is>
      </c>
      <c r="I3" s="9" t="n">
        <v>-31692</v>
      </c>
      <c r="J3" s="8" t="n">
        <v>-0.05190784636422829</v>
      </c>
    </row>
    <row r="4">
      <c r="A4" t="inlineStr">
        <is>
          <t>Optimista</t>
        </is>
      </c>
      <c r="B4" s="9" t="n">
        <v>74020</v>
      </c>
      <c r="C4" s="9" t="n">
        <v>888237</v>
      </c>
      <c r="D4" s="10" t="n">
        <v>36.41564944539687</v>
      </c>
      <c r="E4" s="10" t="n">
        <v>19247.42031194778</v>
      </c>
      <c r="F4" s="8" t="n">
        <v>0.9778973657235567</v>
      </c>
      <c r="G4" t="n">
        <v>4</v>
      </c>
      <c r="H4" t="n">
        <v>11</v>
      </c>
      <c r="I4" s="9" t="n">
        <v>652110</v>
      </c>
      <c r="J4" s="8" t="n">
        <v>5.054172369423552</v>
      </c>
    </row>
    <row r="6">
      <c r="A6" t="inlineStr">
        <is>
          <t>Note</t>
        </is>
      </c>
      <c r="B6" t="inlineStr">
        <is>
          <t>Scenario comparison is generated from the same documented assumptions as the active model. Use 01_ASSUMPTIONS!B2 to inspect a scenario month by month in 04_CASH_FLOW.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.25" customWidth="1" min="1" max="1"/>
    <col width="9.380000114440918" customWidth="1" min="2" max="2"/>
    <col width="43.5" customWidth="1" min="3" max="3"/>
  </cols>
  <sheetData>
    <row r="1">
      <c r="A1" s="4" t="inlineStr">
        <is>
          <t>Break-even metric</t>
        </is>
      </c>
      <c r="B1" s="4" t="inlineStr">
        <is>
          <t>Value</t>
        </is>
      </c>
      <c r="C1" s="4" t="inlineStr">
        <is>
          <t>Formula / note</t>
        </is>
      </c>
    </row>
    <row r="2">
      <c r="A2" t="inlineStr">
        <is>
          <t>Operating break-even month</t>
        </is>
      </c>
      <c r="B2">
        <f>'05_KPIS'!B11</f>
        <v/>
      </c>
      <c r="C2" t="inlineStr">
        <is>
          <t>First month with EBITDA &gt;= 0</t>
        </is>
      </c>
    </row>
    <row r="3">
      <c r="A3" t="inlineStr">
        <is>
          <t>Payback month</t>
        </is>
      </c>
      <c r="B3">
        <f>'05_KPIS'!B12</f>
        <v/>
      </c>
      <c r="C3" t="inlineStr">
        <is>
          <t>First month with cumulative cash &gt;= 0</t>
        </is>
      </c>
    </row>
    <row r="4">
      <c r="A4" t="inlineStr">
        <is>
          <t>Fixed monthly cost</t>
        </is>
      </c>
      <c r="B4" s="9">
        <f>INDEX('01_ASSUMPTIONS'!$J$5:$J$39,MATCH("fixed_infra",'01_ASSUMPTIONS'!$B$5:$B$39,0))+INDEX('01_ASSUMPTIONS'!$J$5:$J$39,MATCH("software_maintenance",'01_ASSUMPTIONS'!$B$5:$B$39,0))+INDEX('01_ASSUMPTIONS'!$J$5:$J$39,MATCH("base_support",'01_ASSUMPTIONS'!$B$5:$B$39,0))+INDEX('01_ASSUMPTIONS'!$J$5:$J$39,MATCH("admin",'01_ASSUMPTIONS'!$B$5:$B$39,0))+INDEX('01_ASSUMPTIONS'!$J$5:$J$39,MATCH("commercial_marketing",'01_ASSUMPTIONS'!$B$5:$B$39,0))+INDEX('01_ASSUMPTIONS'!$J$5:$J$39,MATCH("other_fixed",'01_ASSUMPTIONS'!$B$5:$B$39,0))</f>
        <v/>
      </c>
      <c r="C4" t="inlineStr">
        <is>
          <t>Monthly fixed operating cost</t>
        </is>
      </c>
    </row>
    <row r="5">
      <c r="A5" t="inlineStr">
        <is>
          <t>Average revenue per study M36</t>
        </is>
      </c>
      <c r="B5" s="9">
        <f>'05_KPIS'!B10</f>
        <v/>
      </c>
      <c r="C5" t="inlineStr">
        <is>
          <t>Month 36 revenue per study</t>
        </is>
      </c>
    </row>
    <row r="6">
      <c r="A6" t="inlineStr">
        <is>
          <t>Variable cost per study</t>
        </is>
      </c>
      <c r="B6" s="9">
        <f>INDEX('01_ASSUMPTIONS'!$J$5:$J$39,MATCH("cloud_cost_per_study",'01_ASSUMPTIONS'!$B$5:$B$39,0))+INDEX('01_ASSUMPTIONS'!$J$5:$J$39,MATCH("storage_cost_per_study",'01_ASSUMPTIONS'!$B$5:$B$39,0))+INDEX('01_ASSUMPTIONS'!$J$5:$J$39,MATCH("ai_processing_cost_per_study",'01_ASSUMPTIONS'!$B$5:$B$39,0))</f>
        <v/>
      </c>
      <c r="C6" t="inlineStr">
        <is>
          <t>Compute + storage + AI</t>
        </is>
      </c>
    </row>
    <row r="7">
      <c r="A7" t="inlineStr">
        <is>
          <t>Contribution per study</t>
        </is>
      </c>
      <c r="B7" s="9">
        <f>B5-B6</f>
        <v/>
      </c>
      <c r="C7" t="inlineStr">
        <is>
          <t>Revenue per study less study-variable cost</t>
        </is>
      </c>
    </row>
    <row r="8">
      <c r="A8" t="inlineStr">
        <is>
          <t>Break-even studies/month</t>
        </is>
      </c>
      <c r="B8" s="10">
        <f>IF(B7&lt;=0,"n.a.",B4/B7)</f>
        <v/>
      </c>
      <c r="C8" t="inlineStr">
        <is>
          <t>Estimated study volume needed to cover fixed cost</t>
        </is>
      </c>
    </row>
    <row r="9">
      <c r="A9" t="inlineStr">
        <is>
          <t>Break-even customers/month</t>
        </is>
      </c>
      <c r="B9" s="10">
        <f>IF('05_KPIS'!B6&lt;=0,"n.a.",B8/('05_KPIS'!B6/'05_KPIS'!B5))</f>
        <v/>
      </c>
      <c r="C9" t="inlineStr">
        <is>
          <t>Estimated customers using month-36 study/customer mix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7.5" customWidth="1" min="1" max="1"/>
    <col width="117.5" customWidth="1" min="2" max="2"/>
    <col width="14.63000011444092" customWidth="1" min="3" max="3"/>
    <col width="12.25" customWidth="1" min="4" max="4"/>
  </cols>
  <sheetData>
    <row r="1">
      <c r="A1" s="4" t="inlineStr">
        <is>
          <t>Base sensitivity</t>
        </is>
      </c>
      <c r="B1" s="4" t="inlineStr">
        <is>
          <t>VAN / NPV</t>
        </is>
      </c>
      <c r="C1" s="4" t="inlineStr">
        <is>
          <t>Break-even month</t>
        </is>
      </c>
      <c r="D1" s="4" t="inlineStr">
        <is>
          <t>Payback month</t>
        </is>
      </c>
    </row>
    <row r="2">
      <c r="A2" t="inlineStr">
        <is>
          <t>Pricing -20%</t>
        </is>
      </c>
      <c r="B2" s="9" t="n">
        <v>-77095</v>
      </c>
      <c r="C2" t="n">
        <v>23</v>
      </c>
      <c r="D2" t="inlineStr">
        <is>
          <t>&gt;36 months</t>
        </is>
      </c>
    </row>
    <row r="3">
      <c r="A3" t="inlineStr">
        <is>
          <t>Pricing base</t>
        </is>
      </c>
      <c r="B3" s="9" t="n">
        <v>-31692</v>
      </c>
      <c r="C3" t="n">
        <v>17</v>
      </c>
      <c r="D3" t="inlineStr">
        <is>
          <t>&gt;36 months</t>
        </is>
      </c>
    </row>
    <row r="4">
      <c r="A4" t="inlineStr">
        <is>
          <t>Pricing +20%</t>
        </is>
      </c>
      <c r="B4" s="9" t="n">
        <v>13711</v>
      </c>
      <c r="C4" t="n">
        <v>13</v>
      </c>
      <c r="D4" t="n">
        <v>29</v>
      </c>
    </row>
    <row r="5">
      <c r="A5" t="inlineStr">
        <is>
          <t>Cloud cost/study -30%</t>
        </is>
      </c>
      <c r="B5" s="9" t="n">
        <v>-30296</v>
      </c>
      <c r="C5" t="n">
        <v>17</v>
      </c>
      <c r="D5" t="inlineStr">
        <is>
          <t>&gt;36 months</t>
        </is>
      </c>
    </row>
    <row r="6">
      <c r="A6" t="inlineStr">
        <is>
          <t>Cloud cost/study base</t>
        </is>
      </c>
      <c r="B6" s="9" t="n">
        <v>-31692</v>
      </c>
      <c r="C6" t="n">
        <v>17</v>
      </c>
      <c r="D6" t="inlineStr">
        <is>
          <t>&gt;36 months</t>
        </is>
      </c>
    </row>
    <row r="7">
      <c r="A7" t="inlineStr">
        <is>
          <t>Cloud cost/study +30%</t>
        </is>
      </c>
      <c r="B7" s="9" t="n">
        <v>-33088</v>
      </c>
      <c r="C7" t="n">
        <v>17</v>
      </c>
      <c r="D7" t="inlineStr">
        <is>
          <t>&gt;36 months</t>
        </is>
      </c>
    </row>
    <row r="9">
      <c r="A9" t="inlineStr">
        <is>
          <t>Sensitivity method</t>
        </is>
      </c>
      <c r="B9" t="inlineStr">
        <is>
          <t>Formula-consistent recalculation of the refined Base scenario, changing pricing or cloud unit cost while holding other assumptions constant.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8" customWidth="1" min="4" max="4"/>
  </cols>
  <sheetData>
    <row r="1">
      <c r="A1" s="11" t="inlineStr">
        <is>
          <t>Base Viable Exploratory</t>
        </is>
      </c>
    </row>
    <row r="3">
      <c r="A3" t="inlineStr">
        <is>
          <t>Purpose</t>
        </is>
      </c>
      <c r="B3" t="inlineStr">
        <is>
          <t>Sensitivity-only scenario: not a forecast and not a replacement for Base.</t>
        </is>
      </c>
    </row>
    <row r="5">
      <c r="A5" s="12" t="inlineStr">
        <is>
          <t>Lever</t>
        </is>
      </c>
      <c r="B5" s="12" t="inlineStr">
        <is>
          <t>Base</t>
        </is>
      </c>
      <c r="C5" s="12" t="inlineStr">
        <is>
          <t>Exploratory</t>
        </is>
      </c>
      <c r="D5" s="12" t="inlineStr">
        <is>
          <t>Reason</t>
        </is>
      </c>
    </row>
    <row r="6">
      <c r="A6" t="inlineStr">
        <is>
          <t>Starter monthly acquisition</t>
        </is>
      </c>
      <c r="B6" t="n">
        <v>0.35</v>
      </c>
      <c r="C6" t="n">
        <v>0.35</v>
      </c>
      <c r="D6" t="inlineStr">
        <is>
          <t>Commercial funnel sensitivity</t>
        </is>
      </c>
    </row>
    <row r="7">
      <c r="A7" t="inlineStr">
        <is>
          <t>Professional monthly acquisition</t>
        </is>
      </c>
      <c r="B7" t="n">
        <v>0.12</v>
      </c>
      <c r="C7" t="n">
        <v>0.12</v>
      </c>
      <c r="D7" t="inlineStr">
        <is>
          <t>Commercial funnel sensitivity</t>
        </is>
      </c>
    </row>
    <row r="8">
      <c r="A8" t="inlineStr">
        <is>
          <t>Enterprise monthly acquisition</t>
        </is>
      </c>
      <c r="B8" t="n">
        <v>0.03</v>
      </c>
      <c r="C8" t="n">
        <v>0.03</v>
      </c>
      <c r="D8" t="inlineStr">
        <is>
          <t>Commercial funnel sensitivity</t>
        </is>
      </c>
    </row>
    <row r="9">
      <c r="A9" t="inlineStr">
        <is>
          <t>Pricing multiplier</t>
        </is>
      </c>
      <c r="B9" t="n">
        <v>1</v>
      </c>
      <c r="C9" t="n">
        <v>1</v>
      </c>
      <c r="D9" t="inlineStr">
        <is>
          <t>Willingness-to-pay sensitivity, not validated price</t>
        </is>
      </c>
    </row>
    <row r="10">
      <c r="A10" t="inlineStr">
        <is>
          <t>Fixed cost multiplier</t>
        </is>
      </c>
      <c r="B10" t="n">
        <v>1</v>
      </c>
      <c r="C10" t="n">
        <v>0.95</v>
      </c>
      <c r="D10" t="inlineStr">
        <is>
          <t>Operating efficiency sensitivity</t>
        </is>
      </c>
    </row>
    <row r="11">
      <c r="A11" t="inlineStr">
        <is>
          <t>Cloud unit cost/study</t>
        </is>
      </c>
      <c r="B11" t="n">
        <v>0.21</v>
      </c>
      <c r="C11" t="n">
        <v>0.21</v>
      </c>
      <c r="D11" t="inlineStr">
        <is>
          <t>Uses refined technical cloud envelope</t>
        </is>
      </c>
    </row>
    <row r="14">
      <c r="A14" t="inlineStr">
        <is>
          <t>Result</t>
        </is>
      </c>
      <c r="B14" t="inlineStr">
        <is>
          <t>Value</t>
        </is>
      </c>
    </row>
    <row r="15">
      <c r="A15" t="inlineStr">
        <is>
          <t>VAN / NPV</t>
        </is>
      </c>
      <c r="B15" t="n">
        <v>-21162</v>
      </c>
    </row>
    <row r="16">
      <c r="A16" t="inlineStr">
        <is>
          <t>Operating break-even</t>
        </is>
      </c>
      <c r="B16" t="n">
        <v>16</v>
      </c>
    </row>
    <row r="17">
      <c r="A17" t="inlineStr">
        <is>
          <t>Payback</t>
        </is>
      </c>
      <c r="B17" t="n">
        <v>36</v>
      </c>
    </row>
    <row r="18">
      <c r="A18" t="inlineStr">
        <is>
          <t>TIR annualized</t>
        </is>
      </c>
      <c r="B18" t="n">
        <v>0.04111259323083383</v>
      </c>
    </row>
    <row r="20">
      <c r="A20" t="inlineStr">
        <is>
          <t>Interpretation</t>
        </is>
      </c>
      <c r="B20" t="inlineStr">
        <is>
          <t>This scenario shows a minimum viable direction under refined technical cloud costs; it must not be presented as validated market demand.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2026-09-22T15:32:54Z</dcterms:created>
  <dcterms:modified xmlns:dcterms="http://purl.org/dc/terms/" xmlns:xsi="http://www.w3.org/2001/XMLSchema-instance" xsi:type="dcterms:W3CDTF">2026-09-22T15:33:33Z</dcterms:modified>
</cp:coreProperties>
</file>