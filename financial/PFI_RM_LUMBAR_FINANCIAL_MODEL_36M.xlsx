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a68af38a2d47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5c877993809d440c"/>
    <x:sheet xmlns:r="http://schemas.openxmlformats.org/officeDocument/2006/relationships" name="01_ASSUMPTIONS" sheetId="2" r:id="R78d6d2b79dcb4d19"/>
    <x:sheet xmlns:r="http://schemas.openxmlformats.org/officeDocument/2006/relationships" name="02_PRICING" sheetId="3" r:id="R6b66db5ffcef4c32"/>
    <x:sheet xmlns:r="http://schemas.openxmlformats.org/officeDocument/2006/relationships" name="04_CASH_FLOW" sheetId="4" r:id="Rbff9d906e8284ce1"/>
    <x:sheet xmlns:r="http://schemas.openxmlformats.org/officeDocument/2006/relationships" name="05_KPIS" sheetId="5" r:id="R84541e24b3ee45c2"/>
    <x:sheet xmlns:r="http://schemas.openxmlformats.org/officeDocument/2006/relationships" name="03_SCENARIOS" sheetId="6" r:id="R76f3eea4d2d34178"/>
    <x:sheet xmlns:r="http://schemas.openxmlformats.org/officeDocument/2006/relationships" name="06_BREAK_EVEN" sheetId="7" r:id="Re5dc864ae69a4aed"/>
    <x:sheet xmlns:r="http://schemas.openxmlformats.org/officeDocument/2006/relationships" name="07_SENSITIVITY" sheetId="8" r:id="Rf71189eb09274a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$#,##0"/>
    <x:numFmt numFmtId="202" formatCode="#,##0.0"/>
  </x:numFmts>
  <x:fonts count="4">
    <x:font>
      <x:sz val="11"/>
      <x:name val="Carlito"/>
    </x:font>
    <x:font>
      <x:b/>
      <x:sz val="14"/>
      <x:color rgb="FFFFFFFF"/>
      <x:name val="Aptos"/>
    </x:font>
    <x:font>
      <x:b/>
      <x:sz val="11"/>
      <x:name val="Aptos"/>
    </x:font>
    <x:font>
      <x:b/>
      <x:sz val="11"/>
      <x:color rgb="FFFFFFFF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3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c9b113dec44721" /><Relationship Type="http://schemas.openxmlformats.org/officeDocument/2006/relationships/theme" Target="/xl/theme/theme1.xml" Id="Raec563b4ed27451c" /><Relationship Type="http://schemas.openxmlformats.org/officeDocument/2006/relationships/sharedStrings" Target="/xl/sharedStrings.xml" Id="Rde60657d25994643" /><Relationship Type="http://schemas.openxmlformats.org/officeDocument/2006/relationships/worksheet" Target="/xl/worksheets/sheet1.xml" Id="R5c877993809d440c" /><Relationship Type="http://schemas.openxmlformats.org/officeDocument/2006/relationships/worksheet" Target="/xl/worksheets/sheet2.xml" Id="R78d6d2b79dcb4d19" /><Relationship Type="http://schemas.openxmlformats.org/officeDocument/2006/relationships/worksheet" Target="/xl/worksheets/sheet3.xml" Id="R6b66db5ffcef4c32" /><Relationship Type="http://schemas.openxmlformats.org/officeDocument/2006/relationships/worksheet" Target="/xl/worksheets/sheet4.xml" Id="Rbff9d906e8284ce1" /><Relationship Type="http://schemas.openxmlformats.org/officeDocument/2006/relationships/worksheet" Target="/xl/worksheets/sheet5.xml" Id="R84541e24b3ee45c2" /><Relationship Type="http://schemas.openxmlformats.org/officeDocument/2006/relationships/worksheet" Target="/xl/worksheets/sheet6.xml" Id="R76f3eea4d2d34178" /><Relationship Type="http://schemas.openxmlformats.org/officeDocument/2006/relationships/worksheet" Target="/xl/worksheets/sheet7.xml" Id="Re5dc864ae69a4aed" /><Relationship Type="http://schemas.openxmlformats.org/officeDocument/2006/relationships/worksheet" Target="/xl/worksheets/sheet8.xml" Id="Rf71189eb09274a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50.5" hidden="0" customWidth="1"/>
    <x:col min="2" max="2" width="80.87999725341797" hidden="0" customWidth="1"/>
  </x:cols>
  <x:sheetData>
    <x:row r="1">
      <x:c r="A1" s="2" t="str">
        <x:v>PFI RM Lumbar - 36-month editable financial model</x:v>
      </x:c>
    </x:row>
    <x:row r="3">
      <x:c r="A3" s="3" t="str">
        <x:v>Purpose</x:v>
      </x:c>
      <x:c r="B3" t="str">
        <x:v>Editable academic financial model for the lumbar MRI MVP business/economic chapter.</x:v>
      </x:c>
    </x:row>
    <x:row r="4">
      <x:c r="A4" s="3" t="str">
        <x:v>Currency</x:v>
      </x:c>
      <x:c r="B4" t="str">
        <x:v>USD</x:v>
      </x:c>
    </x:row>
    <x:row r="5">
      <x:c r="A5" s="3" t="str">
        <x:v>Horizon</x:v>
      </x:c>
      <x:c r="B5" t="str">
        <x:v>36 months</x:v>
      </x:c>
    </x:row>
    <x:row r="6">
      <x:c r="A6" s="3" t="str">
        <x:v>Scenario selector</x:v>
      </x:c>
      <x:c r="B6" t="str">
        <x:v>Cell 01_ASSUMPTIONS!B2 controls the active model.</x:v>
      </x:c>
    </x:row>
    <x:row r="7">
      <x:c r="A7" s="3" t="str">
        <x:v>Scenarios</x:v>
      </x:c>
      <x:c r="B7" t="str">
        <x:v>Pesimista / Base / Optimista</x:v>
      </x:c>
    </x:row>
    <x:row r="8">
      <x:c r="A8" s="3" t="str">
        <x:v>Important limitation</x:v>
      </x:c>
      <x:c r="B8" t="str">
        <x:v>All prices, costs, conversion, churn and demand assumptions are provisional and require external validation.</x:v>
      </x:c>
    </x:row>
    <x:row r="9">
      <x:c r="A9" s="3" t="str">
        <x:v>Clinical/commercial status</x:v>
      </x:c>
      <x:c r="B9" t="str">
        <x:v>The model does not claim clinical adoption, reimbursability, procurement approval or productive availability.</x:v>
      </x:c>
    </x:row>
    <x:row r="10">
      <x:c r="A10" s="3" t="str">
        <x:v>Editable sheets</x:v>
      </x:c>
      <x:c r="B10" t="str">
        <x:v>01_ASSUMPTIONS, 02_PRICING, 04_CASH_FLOW</x:v>
      </x:c>
    </x:row>
    <x:row r="11">
      <x:c r="A11" s="3" t="str">
        <x:v>Formula sheets</x:v>
      </x:c>
      <x:c r="B11" t="str">
        <x:v>04_CASH_FLOW, 05_KPIS, 06_BREAK_EVEN, 07_SENSITIVITY</x:v>
      </x:c>
    </x:row>
    <x:row r="12">
      <x:c r="A12" s="3" t="str">
        <x:v>Non-functional scope</x:v>
      </x:c>
      <x:c r="B12" t="str">
        <x:v>No LaTeX update, no code change, no macros.</x:v>
      </x:c>
    </x:row>
    <x:row r="13">
      <x:c r="A13" s="3" t="str">
        <x:v>Validation note</x:v>
      </x:c>
      <x:c r="B13" t="str">
        <x:v>Generated and checked programmatically; open in Excel/LibreOffice to recalculate after manual edits.</x:v>
      </x:c>
    </x:row>
    <x:row r="14">
      <x:c r="A14" s="3" t="str">
        <x:v>Repository note</x:v>
      </x:c>
      <x:c r="B14" t="str">
        <x:v>This workbook is documentation/business-model evidence only.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1.880000114440918" hidden="0" customWidth="1"/>
    <x:col min="2" max="2" width="27.1299991607666" hidden="0" customWidth="1"/>
    <x:col min="3" max="3" width="7.75" hidden="0" customWidth="1"/>
    <x:col min="4" max="4" width="17" hidden="0" customWidth="1"/>
    <x:col min="5" max="5" width="8" hidden="0" customWidth="1"/>
    <x:col min="6" max="6" width="19.25" hidden="0" customWidth="1"/>
    <x:col min="7" max="7" width="5.380000114440918" hidden="0" customWidth="1"/>
    <x:col min="8" max="8" width="35.75" hidden="0" customWidth="1"/>
    <x:col min="9" max="9" width="37.5" hidden="0" customWidth="1"/>
    <x:col min="10" max="10" width="9.75" hidden="0" customWidth="1"/>
  </x:cols>
  <x:sheetData>
    <x:row r="1">
      <x:c r="A1" s="4" t="str">
        <x:v>Category</x:v>
      </x:c>
      <x:c r="B1" s="4" t="str">
        <x:v>Variable</x:v>
      </x:c>
      <x:c r="C1" s="4" t="str">
        <x:v>Pesimista</x:v>
      </x:c>
      <x:c r="D1" s="4" t="str">
        <x:v>Base</x:v>
      </x:c>
      <x:c r="E1" s="4" t="str">
        <x:v>Optimista</x:v>
      </x:c>
      <x:c r="F1" s="4" t="str">
        <x:v>Unit</x:v>
      </x:c>
      <x:c r="G1" s="4" t="str">
        <x:v>Type</x:v>
      </x:c>
      <x:c r="H1" s="4" t="str">
        <x:v>Justification</x:v>
      </x:c>
      <x:c r="I1" s="4" t="str">
        <x:v>Source / pending</x:v>
      </x:c>
      <x:c r="J1" s="4" t="str">
        <x:v>Active value</x:v>
      </x:c>
    </x:row>
    <x:row r="2">
      <x:c r="A2" t="str">
        <x:v>Active scenario</x:v>
      </x:c>
      <x:c r="B2" t="str">
        <x:v>Base</x:v>
      </x:c>
      <x:c r="D2" t="str">
        <x:v>Monthly discount rate</x:v>
      </x:c>
      <x:c r="E2" s="5" t="n">
        <x:f>(1+INDEX($J$5:$J$39,MATCH("annual_discount_rate",$B$5:$B$39,0)))^(1/12)-1</x:f>
        <x:v>0.018769265121506118</x:v>
      </x:c>
    </x:row>
    <x:row r="4">
      <x:c r="A4" s="4" t="str">
        <x:v>Category</x:v>
      </x:c>
      <x:c r="B4" s="4" t="str">
        <x:v>Variable</x:v>
      </x:c>
      <x:c r="C4" s="4" t="str">
        <x:v>Pesimista</x:v>
      </x:c>
      <x:c r="D4" s="4" t="str">
        <x:v>Base</x:v>
      </x:c>
      <x:c r="E4" s="4" t="str">
        <x:v>Optimista</x:v>
      </x:c>
      <x:c r="F4" s="4" t="str">
        <x:v>Unit</x:v>
      </x:c>
      <x:c r="G4" s="4" t="str">
        <x:v>Type</x:v>
      </x:c>
      <x:c r="H4" s="4" t="str">
        <x:v>Justification</x:v>
      </x:c>
      <x:c r="I4" s="4" t="str">
        <x:v>Source / pending</x:v>
      </x:c>
      <x:c r="J4" s="4" t="str">
        <x:v>Active value</x:v>
      </x:c>
    </x:row>
    <x:row r="5">
      <x:c r="A5" t="str">
        <x:v>General</x:v>
      </x:c>
      <x:c r="B5" t="str">
        <x:v>horizon_months</x:v>
      </x:c>
      <x:c r="C5" s="6" t="n">
        <x:v>36</x:v>
      </x:c>
      <x:c r="D5" s="6" t="n">
        <x:v>36</x:v>
      </x:c>
      <x:c r="E5" s="6" t="n">
        <x:v>36</x:v>
      </x:c>
      <x:c r="F5" t="str">
        <x:v>months</x:v>
      </x:c>
      <x:c r="G5" t="str">
        <x:v>input</x:v>
      </x:c>
      <x:c r="H5" t="str">
        <x:v>Model horizon requested for the business plan.</x:v>
      </x:c>
      <x:c r="I5" t="str">
        <x:v>Defined by scope; validate with thesis committee.</x:v>
      </x:c>
      <x:c r="J5" s="6" t="n">
        <x:f>CHOOSE(MATCH($B$2,$C$4:$E$4,0),C5,D5,E5)</x:f>
        <x:v>36</x:v>
      </x:c>
    </x:row>
    <x:row r="6">
      <x:c r="A6" t="str">
        <x:v>General</x:v>
      </x:c>
      <x:c r="B6" t="str">
        <x:v>annual_discount_rate</x:v>
      </x:c>
      <x:c r="C6" s="5" t="n">
        <x:v>0.35</x:v>
      </x:c>
      <x:c r="D6" s="5" t="n">
        <x:v>0.25</x:v>
      </x:c>
      <x:c r="E6" s="5" t="n">
        <x:v>0.18</x:v>
      </x:c>
      <x:c r="F6" t="str">
        <x:v>%</x:v>
      </x:c>
      <x:c r="G6" t="str">
        <x:v>input</x:v>
      </x:c>
      <x:c r="H6" t="str">
        <x:v>Risk-adjusted prototype-stage discount rate.</x:v>
      </x:c>
      <x:c r="I6" t="str">
        <x:v>Pending local WACC/risk benchmark.</x:v>
      </x:c>
      <x:c r="J6" s="5" t="n">
        <x:f>CHOOSE(MATCH($B$2,$C$4:$E$4,0),C6,D6,E6)</x:f>
        <x:v>0.25</x:v>
      </x:c>
    </x:row>
    <x:row r="7">
      <x:c r="A7" t="str">
        <x:v>General</x:v>
      </x:c>
      <x:c r="B7" t="str">
        <x:v>fx_usd_ars</x:v>
      </x:c>
      <x:c r="C7" s="6" t="n">
        <x:v>1000</x:v>
      </x:c>
      <x:c r="D7" s="6" t="n">
        <x:v>1000</x:v>
      </x:c>
      <x:c r="E7" s="6" t="n">
        <x:v>1000</x:v>
      </x:c>
      <x:c r="F7" t="str">
        <x:v>ARS/USD</x:v>
      </x:c>
      <x:c r="G7" t="str">
        <x:v>memo</x:v>
      </x:c>
      <x:c r="H7" t="str">
        <x:v>Reference FX only; workbook currency is USD.</x:v>
      </x:c>
      <x:c r="I7" t="str">
        <x:v>Pending finance source at decision date.</x:v>
      </x:c>
      <x:c r="J7" s="6" t="n">
        <x:f>CHOOSE(MATCH($B$2,$C$4:$E$4,0),C7,D7,E7)</x:f>
        <x:v>1000</x:v>
      </x:c>
    </x:row>
    <x:row r="8">
      <x:c r="A8" t="str">
        <x:v>Pricing</x:v>
      </x:c>
      <x:c r="B8" t="str">
        <x:v>starter_fee</x:v>
      </x:c>
      <x:c r="C8" s="6" t="n">
        <x:v>400</x:v>
      </x:c>
      <x:c r="D8" s="6" t="n">
        <x:v>600</x:v>
      </x:c>
      <x:c r="E8" s="6" t="n">
        <x:v>900</x:v>
      </x:c>
      <x:c r="F8" t="str">
        <x:v>USD/month</x:v>
      </x:c>
      <x:c r="G8" t="str">
        <x:v>input</x:v>
      </x:c>
      <x:c r="H8" t="str">
        <x:v>Entry institutional pilot package.</x:v>
      </x:c>
      <x:c r="I8" t="str">
        <x:v>Pending willingness-to-pay interviews.</x:v>
      </x:c>
      <x:c r="J8" s="6" t="n">
        <x:f>CHOOSE(MATCH($B$2,$C$4:$E$4,0),C8,D8,E8)</x:f>
        <x:v>600</x:v>
      </x:c>
    </x:row>
    <x:row r="9">
      <x:c r="A9" t="str">
        <x:v>Pricing</x:v>
      </x:c>
      <x:c r="B9" t="str">
        <x:v>starter_included_studies</x:v>
      </x:c>
      <x:c r="C9" s="6" t="n">
        <x:v>80</x:v>
      </x:c>
      <x:c r="D9" s="6" t="n">
        <x:v>120</x:v>
      </x:c>
      <x:c r="E9" s="6" t="n">
        <x:v>180</x:v>
      </x:c>
      <x:c r="F9" t="str">
        <x:v>studies/month</x:v>
      </x:c>
      <x:c r="G9" t="str">
        <x:v>input</x:v>
      </x:c>
      <x:c r="H9" t="str">
        <x:v>Included volume for entry package.</x:v>
      </x:c>
      <x:c r="I9" t="str">
        <x:v>Pending real usage distribution.</x:v>
      </x:c>
      <x:c r="J9" s="6" t="n">
        <x:f>CHOOSE(MATCH($B$2,$C$4:$E$4,0),C9,D9,E9)</x:f>
        <x:v>120</x:v>
      </x:c>
    </x:row>
    <x:row r="10">
      <x:c r="A10" t="str">
        <x:v>Pricing</x:v>
      </x:c>
      <x:c r="B10" t="str">
        <x:v>starter_overage_fee</x:v>
      </x:c>
      <x:c r="C10" s="6" t="n">
        <x:v>6</x:v>
      </x:c>
      <x:c r="D10" s="6" t="n">
        <x:v>8</x:v>
      </x:c>
      <x:c r="E10" s="6" t="n">
        <x:v>10</x:v>
      </x:c>
      <x:c r="F10" t="str">
        <x:v>USD/study</x:v>
      </x:c>
      <x:c r="G10" t="str">
        <x:v>input</x:v>
      </x:c>
      <x:c r="H10" t="str">
        <x:v>Overage per processed study.</x:v>
      </x:c>
      <x:c r="I10" t="str">
        <x:v>Pending commercial validation.</x:v>
      </x:c>
      <x:c r="J10" s="6" t="n">
        <x:f>CHOOSE(MATCH($B$2,$C$4:$E$4,0),C10,D10,E10)</x:f>
        <x:v>8</x:v>
      </x:c>
    </x:row>
    <x:row r="11">
      <x:c r="A11" t="str">
        <x:v>Pricing</x:v>
      </x:c>
      <x:c r="B11" t="str">
        <x:v>professional_fee</x:v>
      </x:c>
      <x:c r="C11" s="6" t="n">
        <x:v>1100</x:v>
      </x:c>
      <x:c r="D11" s="6" t="n">
        <x:v>1600</x:v>
      </x:c>
      <x:c r="E11" s="6" t="n">
        <x:v>2300</x:v>
      </x:c>
      <x:c r="F11" t="str">
        <x:v>USD/month</x:v>
      </x:c>
      <x:c r="G11" t="str">
        <x:v>input</x:v>
      </x:c>
      <x:c r="H11" t="str">
        <x:v>Mid-tier institutional subscription.</x:v>
      </x:c>
      <x:c r="I11" t="str">
        <x:v>Pending willingness-to-pay interviews.</x:v>
      </x:c>
      <x:c r="J11" s="6" t="n">
        <x:f>CHOOSE(MATCH($B$2,$C$4:$E$4,0),C11,D11,E11)</x:f>
        <x:v>1600</x:v>
      </x:c>
    </x:row>
    <x:row r="12">
      <x:c r="A12" t="str">
        <x:v>Pricing</x:v>
      </x:c>
      <x:c r="B12" t="str">
        <x:v>professional_included_studies</x:v>
      </x:c>
      <x:c r="C12" s="6" t="n">
        <x:v>300</x:v>
      </x:c>
      <x:c r="D12" s="6" t="n">
        <x:v>500</x:v>
      </x:c>
      <x:c r="E12" s="6" t="n">
        <x:v>750</x:v>
      </x:c>
      <x:c r="F12" t="str">
        <x:v>studies/month</x:v>
      </x:c>
      <x:c r="G12" t="str">
        <x:v>input</x:v>
      </x:c>
      <x:c r="H12" t="str">
        <x:v>Included volume for mid-tier package.</x:v>
      </x:c>
      <x:c r="I12" t="str">
        <x:v>Pending real usage distribution.</x:v>
      </x:c>
      <x:c r="J12" s="6" t="n">
        <x:f>CHOOSE(MATCH($B$2,$C$4:$E$4,0),C12,D12,E12)</x:f>
        <x:v>500</x:v>
      </x:c>
    </x:row>
    <x:row r="13">
      <x:c r="A13" t="str">
        <x:v>Pricing</x:v>
      </x:c>
      <x:c r="B13" t="str">
        <x:v>professional_overage_fee</x:v>
      </x:c>
      <x:c r="C13" s="6" t="n">
        <x:v>4.5</x:v>
      </x:c>
      <x:c r="D13" s="6" t="n">
        <x:v>6</x:v>
      </x:c>
      <x:c r="E13" s="6" t="n">
        <x:v>8</x:v>
      </x:c>
      <x:c r="F13" t="str">
        <x:v>USD/study</x:v>
      </x:c>
      <x:c r="G13" t="str">
        <x:v>input</x:v>
      </x:c>
      <x:c r="H13" t="str">
        <x:v>Mid-tier overage price.</x:v>
      </x:c>
      <x:c r="I13" t="str">
        <x:v>Pending commercial validation.</x:v>
      </x:c>
      <x:c r="J13" s="6" t="n">
        <x:f>CHOOSE(MATCH($B$2,$C$4:$E$4,0),C13,D13,E13)</x:f>
        <x:v>6</x:v>
      </x:c>
    </x:row>
    <x:row r="14">
      <x:c r="A14" t="str">
        <x:v>Pricing</x:v>
      </x:c>
      <x:c r="B14" t="str">
        <x:v>enterprise_fee</x:v>
      </x:c>
      <x:c r="C14" s="6" t="n">
        <x:v>3000</x:v>
      </x:c>
      <x:c r="D14" s="6" t="n">
        <x:v>4500</x:v>
      </x:c>
      <x:c r="E14" s="6" t="n">
        <x:v>7000</x:v>
      </x:c>
      <x:c r="F14" t="str">
        <x:v>USD/month</x:v>
      </x:c>
      <x:c r="G14" t="str">
        <x:v>input</x:v>
      </x:c>
      <x:c r="H14" t="str">
        <x:v>Large-center subscription.</x:v>
      </x:c>
      <x:c r="I14" t="str">
        <x:v>Pending enterprise procurement validation.</x:v>
      </x:c>
      <x:c r="J14" s="6" t="n">
        <x:f>CHOOSE(MATCH($B$2,$C$4:$E$4,0),C14,D14,E14)</x:f>
        <x:v>4500</x:v>
      </x:c>
    </x:row>
    <x:row r="15">
      <x:c r="A15" t="str">
        <x:v>Pricing</x:v>
      </x:c>
      <x:c r="B15" t="str">
        <x:v>enterprise_included_studies</x:v>
      </x:c>
      <x:c r="C15" s="6" t="n">
        <x:v>900</x:v>
      </x:c>
      <x:c r="D15" s="6" t="n">
        <x:v>1500</x:v>
      </x:c>
      <x:c r="E15" s="6" t="n">
        <x:v>2400</x:v>
      </x:c>
      <x:c r="F15" t="str">
        <x:v>studies/month</x:v>
      </x:c>
      <x:c r="G15" t="str">
        <x:v>input</x:v>
      </x:c>
      <x:c r="H15" t="str">
        <x:v>Included volume for large-center package.</x:v>
      </x:c>
      <x:c r="I15" t="str">
        <x:v>Pending real usage distribution.</x:v>
      </x:c>
      <x:c r="J15" s="6" t="n">
        <x:f>CHOOSE(MATCH($B$2,$C$4:$E$4,0),C15,D15,E15)</x:f>
        <x:v>1500</x:v>
      </x:c>
    </x:row>
    <x:row r="16">
      <x:c r="A16" t="str">
        <x:v>Pricing</x:v>
      </x:c>
      <x:c r="B16" t="str">
        <x:v>enterprise_overage_fee</x:v>
      </x:c>
      <x:c r="C16" s="6" t="n">
        <x:v>3</x:v>
      </x:c>
      <x:c r="D16" s="6" t="n">
        <x:v>4</x:v>
      </x:c>
      <x:c r="E16" s="6" t="n">
        <x:v>5</x:v>
      </x:c>
      <x:c r="F16" t="str">
        <x:v>USD/study</x:v>
      </x:c>
      <x:c r="G16" t="str">
        <x:v>input</x:v>
      </x:c>
      <x:c r="H16" t="str">
        <x:v>Large-tier overage price.</x:v>
      </x:c>
      <x:c r="I16" t="str">
        <x:v>Pending commercial validation.</x:v>
      </x:c>
      <x:c r="J16" s="6" t="n">
        <x:f>CHOOSE(MATCH($B$2,$C$4:$E$4,0),C16,D16,E16)</x:f>
        <x:v>4</x:v>
      </x:c>
    </x:row>
    <x:row r="17">
      <x:c r="A17" t="str">
        <x:v>Customers</x:v>
      </x:c>
      <x:c r="B17" t="str">
        <x:v>starter_initial_customers</x:v>
      </x:c>
      <x:c r="C17" s="6" t="n">
        <x:v>0</x:v>
      </x:c>
      <x:c r="D17" s="6" t="n">
        <x:v>1</x:v>
      </x:c>
      <x:c r="E17" s="6" t="n">
        <x:v>2</x:v>
      </x:c>
      <x:c r="F17" t="str">
        <x:v>customers</x:v>
      </x:c>
      <x:c r="G17" t="str">
        <x:v>input</x:v>
      </x:c>
      <x:c r="H17" t="str">
        <x:v>Initial post-launch customer count.</x:v>
      </x:c>
      <x:c r="I17" t="str">
        <x:v>Pending pilot pipeline.</x:v>
      </x:c>
      <x:c r="J17" s="6" t="n">
        <x:f>CHOOSE(MATCH($B$2,$C$4:$E$4,0),C17,D17,E17)</x:f>
        <x:v>1</x:v>
      </x:c>
    </x:row>
    <x:row r="18">
      <x:c r="A18" t="str">
        <x:v>Customers</x:v>
      </x:c>
      <x:c r="B18" t="str">
        <x:v>professional_initial_customers</x:v>
      </x:c>
      <x:c r="C18" s="6" t="n">
        <x:v>0</x:v>
      </x:c>
      <x:c r="D18" s="6" t="n">
        <x:v>0</x:v>
      </x:c>
      <x:c r="E18" s="6" t="n">
        <x:v>1</x:v>
      </x:c>
      <x:c r="F18" t="str">
        <x:v>customers</x:v>
      </x:c>
      <x:c r="G18" t="str">
        <x:v>input</x:v>
      </x:c>
      <x:c r="H18" t="str">
        <x:v>Initial post-launch customer count.</x:v>
      </x:c>
      <x:c r="I18" t="str">
        <x:v>Pending pilot pipeline.</x:v>
      </x:c>
      <x:c r="J18" s="6" t="n">
        <x:f>CHOOSE(MATCH($B$2,$C$4:$E$4,0),C18,D18,E18)</x:f>
        <x:v>0</x:v>
      </x:c>
    </x:row>
    <x:row r="19">
      <x:c r="A19" t="str">
        <x:v>Customers</x:v>
      </x:c>
      <x:c r="B19" t="str">
        <x:v>enterprise_initial_customers</x:v>
      </x:c>
      <x:c r="C19" s="6" t="n">
        <x:v>0</x:v>
      </x:c>
      <x:c r="D19" s="6" t="n">
        <x:v>0</x:v>
      </x:c>
      <x:c r="E19" s="6" t="n">
        <x:v>0</x:v>
      </x:c>
      <x:c r="F19" t="str">
        <x:v>customers</x:v>
      </x:c>
      <x:c r="G19" t="str">
        <x:v>input</x:v>
      </x:c>
      <x:c r="H19" t="str">
        <x:v>Initial post-launch customer count.</x:v>
      </x:c>
      <x:c r="I19" t="str">
        <x:v>Pending enterprise pipeline.</x:v>
      </x:c>
      <x:c r="J19" s="6" t="n">
        <x:f>CHOOSE(MATCH($B$2,$C$4:$E$4,0),C19,D19,E19)</x:f>
        <x:v>0</x:v>
      </x:c>
    </x:row>
    <x:row r="20">
      <x:c r="A20" t="str">
        <x:v>Customers</x:v>
      </x:c>
      <x:c r="B20" t="str">
        <x:v>starter_monthly_acquisition</x:v>
      </x:c>
      <x:c r="C20" s="6" t="n">
        <x:v>0.15</x:v>
      </x:c>
      <x:c r="D20" s="6" t="n">
        <x:v>0.35</x:v>
      </x:c>
      <x:c r="E20" s="6" t="n">
        <x:v>0.75</x:v>
      </x:c>
      <x:c r="F20" t="str">
        <x:v>customers/month</x:v>
      </x:c>
      <x:c r="G20" t="str">
        <x:v>input</x:v>
      </x:c>
      <x:c r="H20" t="str">
        <x:v>Average new customers per month.</x:v>
      </x:c>
      <x:c r="I20" t="str">
        <x:v>Pending go-to-market evidence.</x:v>
      </x:c>
      <x:c r="J20" s="6" t="n">
        <x:f>CHOOSE(MATCH($B$2,$C$4:$E$4,0),C20,D20,E20)</x:f>
        <x:v>0.35</x:v>
      </x:c>
    </x:row>
    <x:row r="21">
      <x:c r="A21" t="str">
        <x:v>Customers</x:v>
      </x:c>
      <x:c r="B21" t="str">
        <x:v>professional_monthly_acquisition</x:v>
      </x:c>
      <x:c r="C21" s="6" t="n">
        <x:v>0.04</x:v>
      </x:c>
      <x:c r="D21" s="6" t="n">
        <x:v>0.12</x:v>
      </x:c>
      <x:c r="E21" s="6" t="n">
        <x:v>0.3</x:v>
      </x:c>
      <x:c r="F21" t="str">
        <x:v>customers/month</x:v>
      </x:c>
      <x:c r="G21" t="str">
        <x:v>input</x:v>
      </x:c>
      <x:c r="H21" t="str">
        <x:v>Average new customers per month.</x:v>
      </x:c>
      <x:c r="I21" t="str">
        <x:v>Pending go-to-market evidence.</x:v>
      </x:c>
      <x:c r="J21" s="6" t="n">
        <x:f>CHOOSE(MATCH($B$2,$C$4:$E$4,0),C21,D21,E21)</x:f>
        <x:v>0.12</x:v>
      </x:c>
    </x:row>
    <x:row r="22">
      <x:c r="A22" t="str">
        <x:v>Customers</x:v>
      </x:c>
      <x:c r="B22" t="str">
        <x:v>enterprise_monthly_acquisition</x:v>
      </x:c>
      <x:c r="C22" s="6" t="n">
        <x:v>0</x:v>
      </x:c>
      <x:c r="D22" s="6" t="n">
        <x:v>0.03</x:v>
      </x:c>
      <x:c r="E22" s="6" t="n">
        <x:v>0.08</x:v>
      </x:c>
      <x:c r="F22" t="str">
        <x:v>customers/month</x:v>
      </x:c>
      <x:c r="G22" t="str">
        <x:v>input</x:v>
      </x:c>
      <x:c r="H22" t="str">
        <x:v>Average new customers per month.</x:v>
      </x:c>
      <x:c r="I22" t="str">
        <x:v>Pending enterprise sales cycle validation.</x:v>
      </x:c>
      <x:c r="J22" s="6" t="n">
        <x:f>CHOOSE(MATCH($B$2,$C$4:$E$4,0),C22,D22,E22)</x:f>
        <x:v>0.03</x:v>
      </x:c>
    </x:row>
    <x:row r="23">
      <x:c r="A23" t="str">
        <x:v>Customers</x:v>
      </x:c>
      <x:c r="B23" t="str">
        <x:v>monthly_churn</x:v>
      </x:c>
      <x:c r="C23" s="5" t="n">
        <x:v>0.035</x:v>
      </x:c>
      <x:c r="D23" s="5" t="n">
        <x:v>0.02</x:v>
      </x:c>
      <x:c r="E23" s="5" t="n">
        <x:v>0.01</x:v>
      </x:c>
      <x:c r="F23" t="str">
        <x:v>%/month</x:v>
      </x:c>
      <x:c r="G23" t="str">
        <x:v>input</x:v>
      </x:c>
      <x:c r="H23" t="str">
        <x:v>Prototype retention assumption.</x:v>
      </x:c>
      <x:c r="I23" t="str">
        <x:v>Pending cohort data.</x:v>
      </x:c>
      <x:c r="J23" s="5" t="n">
        <x:f>CHOOSE(MATCH($B$2,$C$4:$E$4,0),C23,D23,E23)</x:f>
        <x:v>0.02</x:v>
      </x:c>
    </x:row>
    <x:row r="24">
      <x:c r="A24" t="str">
        <x:v>Usage</x:v>
      </x:c>
      <x:c r="B24" t="str">
        <x:v>starter_studies_per_customer</x:v>
      </x:c>
      <x:c r="C24" s="6" t="n">
        <x:v>70</x:v>
      </x:c>
      <x:c r="D24" s="6" t="n">
        <x:v>130</x:v>
      </x:c>
      <x:c r="E24" s="6" t="n">
        <x:v>190</x:v>
      </x:c>
      <x:c r="F24" t="str">
        <x:v>studies/customer/month</x:v>
      </x:c>
      <x:c r="G24" t="str">
        <x:v>input</x:v>
      </x:c>
      <x:c r="H24" t="str">
        <x:v>Average monthly processed studies.</x:v>
      </x:c>
      <x:c r="I24" t="str">
        <x:v>Pending anonymized operational logs.</x:v>
      </x:c>
      <x:c r="J24" s="6" t="n">
        <x:f>CHOOSE(MATCH($B$2,$C$4:$E$4,0),C24,D24,E24)</x:f>
        <x:v>130</x:v>
      </x:c>
    </x:row>
    <x:row r="25">
      <x:c r="A25" t="str">
        <x:v>Usage</x:v>
      </x:c>
      <x:c r="B25" t="str">
        <x:v>professional_studies_per_customer</x:v>
      </x:c>
      <x:c r="C25" s="6" t="n">
        <x:v>260</x:v>
      </x:c>
      <x:c r="D25" s="6" t="n">
        <x:v>550</x:v>
      </x:c>
      <x:c r="E25" s="6" t="n">
        <x:v>850</x:v>
      </x:c>
      <x:c r="F25" t="str">
        <x:v>studies/customer/month</x:v>
      </x:c>
      <x:c r="G25" t="str">
        <x:v>input</x:v>
      </x:c>
      <x:c r="H25" t="str">
        <x:v>Average monthly processed studies.</x:v>
      </x:c>
      <x:c r="I25" t="str">
        <x:v>Pending anonymized operational logs.</x:v>
      </x:c>
      <x:c r="J25" s="6" t="n">
        <x:f>CHOOSE(MATCH($B$2,$C$4:$E$4,0),C25,D25,E25)</x:f>
        <x:v>550</x:v>
      </x:c>
    </x:row>
    <x:row r="26">
      <x:c r="A26" t="str">
        <x:v>Usage</x:v>
      </x:c>
      <x:c r="B26" t="str">
        <x:v>enterprise_studies_per_customer</x:v>
      </x:c>
      <x:c r="C26" s="6" t="n">
        <x:v>800</x:v>
      </x:c>
      <x:c r="D26" s="6" t="n">
        <x:v>1600</x:v>
      </x:c>
      <x:c r="E26" s="6" t="n">
        <x:v>2600</x:v>
      </x:c>
      <x:c r="F26" t="str">
        <x:v>studies/customer/month</x:v>
      </x:c>
      <x:c r="G26" t="str">
        <x:v>input</x:v>
      </x:c>
      <x:c r="H26" t="str">
        <x:v>Average monthly processed studies.</x:v>
      </x:c>
      <x:c r="I26" t="str">
        <x:v>Pending anonymized operational logs.</x:v>
      </x:c>
      <x:c r="J26" s="6" t="n">
        <x:f>CHOOSE(MATCH($B$2,$C$4:$E$4,0),C26,D26,E26)</x:f>
        <x:v>1600</x:v>
      </x:c>
    </x:row>
    <x:row r="27">
      <x:c r="A27" t="str">
        <x:v>Variable costs</x:v>
      </x:c>
      <x:c r="B27" t="str">
        <x:v>cloud_cost_per_study</x:v>
      </x:c>
      <x:c r="C27" s="6" t="n">
        <x:v>2.4</x:v>
      </x:c>
      <x:c r="D27" s="6" t="n">
        <x:v>1.5</x:v>
      </x:c>
      <x:c r="E27" s="6" t="n">
        <x:v>1</x:v>
      </x:c>
      <x:c r="F27" t="str">
        <x:v>USD/study</x:v>
      </x:c>
      <x:c r="G27" t="str">
        <x:v>input</x:v>
      </x:c>
      <x:c r="H27" t="str">
        <x:v>Compute and orchestration cost per study.</x:v>
      </x:c>
      <x:c r="I27" t="str">
        <x:v>Pending Cloud billing after deployment.</x:v>
      </x:c>
      <x:c r="J27" s="6" t="n">
        <x:f>CHOOSE(MATCH($B$2,$C$4:$E$4,0),C27,D27,E27)</x:f>
        <x:v>1.5</x:v>
      </x:c>
    </x:row>
    <x:row r="28">
      <x:c r="A28" t="str">
        <x:v>Variable costs</x:v>
      </x:c>
      <x:c r="B28" t="str">
        <x:v>storage_cost_per_study</x:v>
      </x:c>
      <x:c r="C28" s="6" t="n">
        <x:v>0.35</x:v>
      </x:c>
      <x:c r="D28" s="6" t="n">
        <x:v>0.22</x:v>
      </x:c>
      <x:c r="E28" s="6" t="n">
        <x:v>0.15</x:v>
      </x:c>
      <x:c r="F28" t="str">
        <x:v>USD/study</x:v>
      </x:c>
      <x:c r="G28" t="str">
        <x:v>input</x:v>
      </x:c>
      <x:c r="H28" t="str">
        <x:v>Storage and data handling per study.</x:v>
      </x:c>
      <x:c r="I28" t="str">
        <x:v>Pending product storage policy.</x:v>
      </x:c>
      <x:c r="J28" s="6" t="n">
        <x:f>CHOOSE(MATCH($B$2,$C$4:$E$4,0),C28,D28,E28)</x:f>
        <x:v>0.22</x:v>
      </x:c>
    </x:row>
    <x:row r="29">
      <x:c r="A29" t="str">
        <x:v>Variable costs</x:v>
      </x:c>
      <x:c r="B29" t="str">
        <x:v>ai_processing_cost_per_study</x:v>
      </x:c>
      <x:c r="C29" s="6" t="n">
        <x:v>2.2</x:v>
      </x:c>
      <x:c r="D29" s="6" t="n">
        <x:v>1.3</x:v>
      </x:c>
      <x:c r="E29" s="6" t="n">
        <x:v>0.85</x:v>
      </x:c>
      <x:c r="F29" t="str">
        <x:v>USD/study</x:v>
      </x:c>
      <x:c r="G29" t="str">
        <x:v>input</x:v>
      </x:c>
      <x:c r="H29" t="str">
        <x:v>AI inference/preprocessing variable cost.</x:v>
      </x:c>
      <x:c r="I29" t="str">
        <x:v>Pending runtime benchmark.</x:v>
      </x:c>
      <x:c r="J29" s="6" t="n">
        <x:f>CHOOSE(MATCH($B$2,$C$4:$E$4,0),C29,D29,E29)</x:f>
        <x:v>1.3</x:v>
      </x:c>
    </x:row>
    <x:row r="30">
      <x:c r="A30" t="str">
        <x:v>Variable costs</x:v>
      </x:c>
      <x:c r="B30" t="str">
        <x:v>variable_support_per_customer</x:v>
      </x:c>
      <x:c r="C30" s="6" t="n">
        <x:v>90</x:v>
      </x:c>
      <x:c r="D30" s="6" t="n">
        <x:v>60</x:v>
      </x:c>
      <x:c r="E30" s="6" t="n">
        <x:v>45</x:v>
      </x:c>
      <x:c r="F30" t="str">
        <x:v>USD/customer/month</x:v>
      </x:c>
      <x:c r="G30" t="str">
        <x:v>input</x:v>
      </x:c>
      <x:c r="H30" t="str">
        <x:v>Variable support burden by active customer.</x:v>
      </x:c>
      <x:c r="I30" t="str">
        <x:v>Pending support process evidence.</x:v>
      </x:c>
      <x:c r="J30" s="6" t="n">
        <x:f>CHOOSE(MATCH($B$2,$C$4:$E$4,0),C30,D30,E30)</x:f>
        <x:v>60</x:v>
      </x:c>
    </x:row>
    <x:row r="31">
      <x:c r="A31" t="str">
        <x:v>Fixed costs</x:v>
      </x:c>
      <x:c r="B31" t="str">
        <x:v>fixed_infra</x:v>
      </x:c>
      <x:c r="C31" s="6" t="n">
        <x:v>300</x:v>
      </x:c>
      <x:c r="D31" s="6" t="n">
        <x:v>500</x:v>
      </x:c>
      <x:c r="E31" s="6" t="n">
        <x:v>850</x:v>
      </x:c>
      <x:c r="F31" t="str">
        <x:v>USD/month</x:v>
      </x:c>
      <x:c r="G31" t="str">
        <x:v>input</x:v>
      </x:c>
      <x:c r="H31" t="str">
        <x:v>Base infrastructure and observability.</x:v>
      </x:c>
      <x:c r="I31" t="str">
        <x:v>Pending Cloud architecture finalization.</x:v>
      </x:c>
      <x:c r="J31" s="6" t="n">
        <x:f>CHOOSE(MATCH($B$2,$C$4:$E$4,0),C31,D31,E31)</x:f>
        <x:v>500</x:v>
      </x:c>
    </x:row>
    <x:row r="32">
      <x:c r="A32" t="str">
        <x:v>Fixed costs</x:v>
      </x:c>
      <x:c r="B32" t="str">
        <x:v>software_maintenance</x:v>
      </x:c>
      <x:c r="C32" s="6" t="n">
        <x:v>3500</x:v>
      </x:c>
      <x:c r="D32" s="6" t="n">
        <x:v>5000</x:v>
      </x:c>
      <x:c r="E32" s="6" t="n">
        <x:v>7500</x:v>
      </x:c>
      <x:c r="F32" t="str">
        <x:v>USD/month</x:v>
      </x:c>
      <x:c r="G32" t="str">
        <x:v>input</x:v>
      </x:c>
      <x:c r="H32" t="str">
        <x:v>Engineering maintenance capacity.</x:v>
      </x:c>
      <x:c r="I32" t="str">
        <x:v>Pending staffing plan.</x:v>
      </x:c>
      <x:c r="J32" s="6" t="n">
        <x:f>CHOOSE(MATCH($B$2,$C$4:$E$4,0),C32,D32,E32)</x:f>
        <x:v>5000</x:v>
      </x:c>
    </x:row>
    <x:row r="33">
      <x:c r="A33" t="str">
        <x:v>Fixed costs</x:v>
      </x:c>
      <x:c r="B33" t="str">
        <x:v>base_support</x:v>
      </x:c>
      <x:c r="C33" s="6" t="n">
        <x:v>700</x:v>
      </x:c>
      <x:c r="D33" s="6" t="n">
        <x:v>1200</x:v>
      </x:c>
      <x:c r="E33" s="6" t="n">
        <x:v>1800</x:v>
      </x:c>
      <x:c r="F33" t="str">
        <x:v>USD/month</x:v>
      </x:c>
      <x:c r="G33" t="str">
        <x:v>input</x:v>
      </x:c>
      <x:c r="H33" t="str">
        <x:v>Base clinical/user support.</x:v>
      </x:c>
      <x:c r="I33" t="str">
        <x:v>Pending service design.</x:v>
      </x:c>
      <x:c r="J33" s="6" t="n">
        <x:f>CHOOSE(MATCH($B$2,$C$4:$E$4,0),C33,D33,E33)</x:f>
        <x:v>1200</x:v>
      </x:c>
    </x:row>
    <x:row r="34">
      <x:c r="A34" t="str">
        <x:v>Fixed costs</x:v>
      </x:c>
      <x:c r="B34" t="str">
        <x:v>admin</x:v>
      </x:c>
      <x:c r="C34" s="6" t="n">
        <x:v>300</x:v>
      </x:c>
      <x:c r="D34" s="6" t="n">
        <x:v>600</x:v>
      </x:c>
      <x:c r="E34" s="6" t="n">
        <x:v>900</x:v>
      </x:c>
      <x:c r="F34" t="str">
        <x:v>USD/month</x:v>
      </x:c>
      <x:c r="G34" t="str">
        <x:v>input</x:v>
      </x:c>
      <x:c r="H34" t="str">
        <x:v>Administration and legal/accounting support.</x:v>
      </x:c>
      <x:c r="I34" t="str">
        <x:v>Pending local provider quotes.</x:v>
      </x:c>
      <x:c r="J34" s="6" t="n">
        <x:f>CHOOSE(MATCH($B$2,$C$4:$E$4,0),C34,D34,E34)</x:f>
        <x:v>600</x:v>
      </x:c>
    </x:row>
    <x:row r="35">
      <x:c r="A35" t="str">
        <x:v>Fixed costs</x:v>
      </x:c>
      <x:c r="B35" t="str">
        <x:v>commercial_marketing</x:v>
      </x:c>
      <x:c r="C35" s="6" t="n">
        <x:v>400</x:v>
      </x:c>
      <x:c r="D35" s="6" t="n">
        <x:v>1000</x:v>
      </x:c>
      <x:c r="E35" s="6" t="n">
        <x:v>2500</x:v>
      </x:c>
      <x:c r="F35" t="str">
        <x:v>USD/month</x:v>
      </x:c>
      <x:c r="G35" t="str">
        <x:v>input</x:v>
      </x:c>
      <x:c r="H35" t="str">
        <x:v>Go-to-market and relationship development.</x:v>
      </x:c>
      <x:c r="I35" t="str">
        <x:v>Pending channel plan.</x:v>
      </x:c>
      <x:c r="J35" s="6" t="n">
        <x:f>CHOOSE(MATCH($B$2,$C$4:$E$4,0),C35,D35,E35)</x:f>
        <x:v>1000</x:v>
      </x:c>
    </x:row>
    <x:row r="36">
      <x:c r="A36" t="str">
        <x:v>Fixed costs</x:v>
      </x:c>
      <x:c r="B36" t="str">
        <x:v>other_fixed</x:v>
      </x:c>
      <x:c r="C36" s="6" t="n">
        <x:v>150</x:v>
      </x:c>
      <x:c r="D36" s="6" t="n">
        <x:v>300</x:v>
      </x:c>
      <x:c r="E36" s="6" t="n">
        <x:v>600</x:v>
      </x:c>
      <x:c r="F36" t="str">
        <x:v>USD/month</x:v>
      </x:c>
      <x:c r="G36" t="str">
        <x:v>input</x:v>
      </x:c>
      <x:c r="H36" t="str">
        <x:v>Miscellaneous fixed overhead.</x:v>
      </x:c>
      <x:c r="I36" t="str">
        <x:v>Pending detailed budget.</x:v>
      </x:c>
      <x:c r="J36" s="6" t="n">
        <x:f>CHOOSE(MATCH($B$2,$C$4:$E$4,0),C36,D36,E36)</x:f>
        <x:v>300</x:v>
      </x:c>
    </x:row>
    <x:row r="37">
      <x:c r="A37" t="str">
        <x:v>Investment</x:v>
      </x:c>
      <x:c r="B37" t="str">
        <x:v>development_investment</x:v>
      </x:c>
      <x:c r="C37" s="6" t="n">
        <x:v>8000</x:v>
      </x:c>
      <x:c r="D37" s="6" t="n">
        <x:v>18000</x:v>
      </x:c>
      <x:c r="E37" s="6" t="n">
        <x:v>30000</x:v>
      </x:c>
      <x:c r="F37" t="str">
        <x:v>USD upfront</x:v>
      </x:c>
      <x:c r="G37" t="str">
        <x:v>input</x:v>
      </x:c>
      <x:c r="H37" t="str">
        <x:v>Remaining productization effort.</x:v>
      </x:c>
      <x:c r="I37" t="str">
        <x:v>Pending scope and team validation.</x:v>
      </x:c>
      <x:c r="J37" s="6" t="n">
        <x:f>CHOOSE(MATCH($B$2,$C$4:$E$4,0),C37,D37,E37)</x:f>
        <x:v>18000</x:v>
      </x:c>
    </x:row>
    <x:row r="38">
      <x:c r="A38" t="str">
        <x:v>Investment</x:v>
      </x:c>
      <x:c r="B38" t="str">
        <x:v>cloud_setup</x:v>
      </x:c>
      <x:c r="C38" s="6" t="n">
        <x:v>1000</x:v>
      </x:c>
      <x:c r="D38" s="6" t="n">
        <x:v>2500</x:v>
      </x:c>
      <x:c r="E38" s="6" t="n">
        <x:v>5000</x:v>
      </x:c>
      <x:c r="F38" t="str">
        <x:v>USD upfront</x:v>
      </x:c>
      <x:c r="G38" t="str">
        <x:v>input</x:v>
      </x:c>
      <x:c r="H38" t="str">
        <x:v>Initial Cloud setup and security hardening.</x:v>
      </x:c>
      <x:c r="I38" t="str">
        <x:v>Pending infrastructure plan.</x:v>
      </x:c>
      <x:c r="J38" s="6" t="n">
        <x:f>CHOOSE(MATCH($B$2,$C$4:$E$4,0),C38,D38,E38)</x:f>
        <x:v>2500</x:v>
      </x:c>
    </x:row>
    <x:row r="39">
      <x:c r="A39" t="str">
        <x:v>Investment</x:v>
      </x:c>
      <x:c r="B39" t="str">
        <x:v>launch_setup</x:v>
      </x:c>
      <x:c r="C39" s="6" t="n">
        <x:v>500</x:v>
      </x:c>
      <x:c r="D39" s="6" t="n">
        <x:v>2500</x:v>
      </x:c>
      <x:c r="E39" s="6" t="n">
        <x:v>7000</x:v>
      </x:c>
      <x:c r="F39" t="str">
        <x:v>USD upfront</x:v>
      </x:c>
      <x:c r="G39" t="str">
        <x:v>input</x:v>
      </x:c>
      <x:c r="H39" t="str">
        <x:v>Launch material, legal, onboarding setup.</x:v>
      </x:c>
      <x:c r="I39" t="str">
        <x:v>Pending launch plan.</x:v>
      </x:c>
      <x:c r="J39" s="6" t="n">
        <x:f>CHOOSE(MATCH($B$2,$C$4:$E$4,0),C39,D39,E39)</x:f>
        <x:v>2500</x:v>
      </x:c>
    </x:row>
  </x:sheetData>
  <x:dataValidations count="1">
    <x:dataValidation type="list" sqref="B2">
      <x:formula1>"Pesimista,Base,Optimista"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.630000114440918" hidden="0" customWidth="1"/>
    <x:col min="2" max="2" width="9.880000114440918" hidden="0" customWidth="1"/>
    <x:col min="3" max="3" width="13" hidden="0" customWidth="1"/>
    <x:col min="4" max="4" width="9.630000114440918" hidden="0" customWidth="1"/>
    <x:col min="5" max="5" width="25.25" hidden="0" customWidth="1"/>
    <x:col min="6" max="6" width="13.25" hidden="0" customWidth="1"/>
  </x:cols>
  <x:sheetData>
    <x:row r="1">
      <x:c r="A1" s="4" t="str">
        <x:v>Tier</x:v>
      </x:c>
      <x:c r="B1" s="4" t="str">
        <x:v>Monthly fee</x:v>
      </x:c>
      <x:c r="C1" s="4" t="str">
        <x:v>Included studies</x:v>
      </x:c>
      <x:c r="D1" s="4" t="str">
        <x:v>Overage fee</x:v>
      </x:c>
      <x:c r="E1" s="4" t="str">
        <x:v>Target user</x:v>
      </x:c>
      <x:c r="F1" s="4" t="str">
        <x:v>Validation status</x:v>
      </x:c>
    </x:row>
    <x:row r="2">
      <x:c r="A2" t="str">
        <x:v>Starter</x:v>
      </x:c>
      <x:c r="B2" s="6" t="n">
        <x:f>INDEX('01_ASSUMPTIONS'!$J$5:$J$39,MATCH("starter_fee",'01_ASSUMPTIONS'!$B$5:$B$39,0))</x:f>
        <x:v>600</x:v>
      </x:c>
      <x:c r="C2" t="n">
        <x:f>INDEX('01_ASSUMPTIONS'!$J$5:$J$39,MATCH("starter_included_studies",'01_ASSUMPTIONS'!$B$5:$B$39,0))</x:f>
        <x:v>120</x:v>
      </x:c>
      <x:c r="D2" s="6" t="n">
        <x:f>INDEX('01_ASSUMPTIONS'!$J$5:$J$39,MATCH("starter_overage_fee",'01_ASSUMPTIONS'!$B$5:$B$39,0))</x:f>
        <x:v>8</x:v>
      </x:c>
      <x:c r="E2" t="str">
        <x:v>Small pilot / low-volume center</x:v>
      </x:c>
      <x:c r="F2" t="str">
        <x:v>Provisional</x:v>
      </x:c>
    </x:row>
    <x:row r="3">
      <x:c r="A3" t="str">
        <x:v>Professional</x:v>
      </x:c>
      <x:c r="B3" s="6" t="n">
        <x:f>INDEX('01_ASSUMPTIONS'!$J$5:$J$39,MATCH("professional_fee",'01_ASSUMPTIONS'!$B$5:$B$39,0))</x:f>
        <x:v>1600</x:v>
      </x:c>
      <x:c r="C3" t="n">
        <x:f>INDEX('01_ASSUMPTIONS'!$J$5:$J$39,MATCH("professional_included_studies",'01_ASSUMPTIONS'!$B$5:$B$39,0))</x:f>
        <x:v>500</x:v>
      </x:c>
      <x:c r="D3" s="6" t="n">
        <x:f>INDEX('01_ASSUMPTIONS'!$J$5:$J$39,MATCH("professional_overage_fee",'01_ASSUMPTIONS'!$B$5:$B$39,0))</x:f>
        <x:v>6</x:v>
      </x:c>
      <x:c r="E3" t="str">
        <x:v>Clinical center / teaching hospital</x:v>
      </x:c>
      <x:c r="F3" t="str">
        <x:v>Provisional</x:v>
      </x:c>
    </x:row>
    <x:row r="4">
      <x:c r="A4" t="str">
        <x:v>Enterprise</x:v>
      </x:c>
      <x:c r="B4" s="6" t="n">
        <x:f>INDEX('01_ASSUMPTIONS'!$J$5:$J$39,MATCH("enterprise_fee",'01_ASSUMPTIONS'!$B$5:$B$39,0))</x:f>
        <x:v>4500</x:v>
      </x:c>
      <x:c r="C4" t="n">
        <x:f>INDEX('01_ASSUMPTIONS'!$J$5:$J$39,MATCH("enterprise_included_studies",'01_ASSUMPTIONS'!$B$5:$B$39,0))</x:f>
        <x:v>1500</x:v>
      </x:c>
      <x:c r="D4" s="6" t="n">
        <x:f>INDEX('01_ASSUMPTIONS'!$J$5:$J$39,MATCH("enterprise_overage_fee",'01_ASSUMPTIONS'!$B$5:$B$39,0))</x:f>
        <x:v>4</x:v>
      </x:c>
      <x:c r="E4" t="str">
        <x:v>Large institution / network</x:v>
      </x:c>
      <x:c r="F4" t="str">
        <x:v>Provisional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1" topLeftCell="B2" activePane="bottomRight" state="frozen"/>
    </x:sheetView>
  </x:sheetViews>
  <x:sheetFormatPr defaultRowHeight="15"/>
  <x:cols>
    <x:col min="1" max="1" width="5.75" hidden="0" customWidth="1"/>
    <x:col min="2" max="2" width="19.25" hidden="0" customWidth="1"/>
    <x:col min="3" max="3" width="23.25" hidden="0" customWidth="1"/>
    <x:col min="4" max="4" width="21.75" hidden="0" customWidth="1"/>
    <x:col min="5" max="5" width="12.5" hidden="0" customWidth="1"/>
    <x:col min="6" max="6" width="11.75" hidden="0" customWidth="1"/>
    <x:col min="7" max="7" width="15.880000114440918" hidden="0" customWidth="1"/>
    <x:col min="8" max="8" width="14.380000114440918" hidden="0" customWidth="1"/>
    <x:col min="9" max="9" width="10.130000114440918" hidden="0" customWidth="1"/>
    <x:col min="10" max="10" width="16.6299991607666" hidden="0" customWidth="1"/>
    <x:col min="11" max="11" width="13.5" hidden="0" customWidth="1"/>
    <x:col min="12" max="12" width="10.880000114440918" hidden="0" customWidth="1"/>
    <x:col min="13" max="13" width="8.5" hidden="0" customWidth="1"/>
    <x:col min="14" max="14" width="9.880000114440918" hidden="0" customWidth="1"/>
    <x:col min="15" max="15" width="14.130000114440918" hidden="0" customWidth="1"/>
    <x:col min="16" max="16" width="13.130000114440918" hidden="0" customWidth="1"/>
    <x:col min="17" max="17" width="15" hidden="0" customWidth="1"/>
    <x:col min="18" max="18" width="15.380000114440918" hidden="0" customWidth="1"/>
    <x:col min="19" max="19" width="10.630000114440918" hidden="0" customWidth="1"/>
    <x:col min="20" max="20" width="10.5" hidden="0" customWidth="1"/>
    <x:col min="21" max="21" width="5.630000114440918" hidden="0" customWidth="1"/>
    <x:col min="22" max="22" width="18.1299991607666" hidden="0" customWidth="1"/>
    <x:col min="23" max="23" width="9.130000114440918" hidden="0" customWidth="1"/>
    <x:col min="24" max="24" width="12.630000114440918" hidden="0" customWidth="1"/>
    <x:col min="25" max="25" width="19.75" hidden="0" customWidth="1"/>
    <x:col min="26" max="26" width="13.880000114440918" hidden="0" customWidth="1"/>
    <x:col min="27" max="27" width="10.880000114440918" hidden="0" customWidth="1"/>
    <x:col min="28" max="28" width="12.130000114440918" hidden="0" customWidth="1"/>
    <x:col min="29" max="29" width="16.6299991607666" hidden="0" customWidth="1"/>
    <x:col min="30" max="30" width="16.75" hidden="0" customWidth="1"/>
    <x:col min="31" max="31" width="20.25" hidden="0" customWidth="1"/>
    <x:col min="32" max="32" width="10" hidden="0" customWidth="1"/>
  </x:cols>
  <x:sheetData>
    <x:row r="1">
      <x:c r="A1" s="4" t="str">
        <x:v>Month</x:v>
      </x:c>
      <x:c r="B1" s="4" t="str">
        <x:v>Active customers Starter</x:v>
      </x:c>
      <x:c r="C1" s="4" t="str">
        <x:v>Active customers Professional</x:v>
      </x:c>
      <x:c r="D1" s="4" t="str">
        <x:v>Active customers Enterprise</x:v>
      </x:c>
      <x:c r="E1" s="4" t="str">
        <x:v>Total customers</x:v>
      </x:c>
      <x:c r="F1" s="4" t="str">
        <x:v>Studies Starter</x:v>
      </x:c>
      <x:c r="G1" s="4" t="str">
        <x:v>Studies Professional</x:v>
      </x:c>
      <x:c r="H1" s="4" t="str">
        <x:v>Studies Enterprise</x:v>
      </x:c>
      <x:c r="I1" s="4" t="str">
        <x:v>Total studies</x:v>
      </x:c>
      <x:c r="J1" s="4" t="str">
        <x:v>Subscription revenue</x:v>
      </x:c>
      <x:c r="K1" s="4" t="str">
        <x:v>Overage revenue</x:v>
      </x:c>
      <x:c r="L1" s="4" t="str">
        <x:v>Total revenue</x:v>
      </x:c>
      <x:c r="M1" s="4" t="str">
        <x:v>Cloud cost</x:v>
      </x:c>
      <x:c r="N1" s="4" t="str">
        <x:v>Storage cost</x:v>
      </x:c>
      <x:c r="O1" s="4" t="str">
        <x:v>AI processing cost</x:v>
      </x:c>
      <x:c r="P1" s="4" t="str">
        <x:v>Variable support</x:v>
      </x:c>
      <x:c r="Q1" s="4" t="str">
        <x:v>Total variable costs</x:v>
      </x:c>
      <x:c r="R1" s="4" t="str">
        <x:v>Fixed infrastructure</x:v>
      </x:c>
      <x:c r="S1" s="4" t="str">
        <x:v>Maintenance</x:v>
      </x:c>
      <x:c r="T1" s="4" t="str">
        <x:v>Base support</x:v>
      </x:c>
      <x:c r="U1" s="4" t="str">
        <x:v>Admin</x:v>
      </x:c>
      <x:c r="V1" s="4" t="str">
        <x:v>Commercial/marketing</x:v>
      </x:c>
      <x:c r="W1" s="4" t="str">
        <x:v>Other fixed</x:v>
      </x:c>
      <x:c r="X1" s="4" t="str">
        <x:v>Total fixed costs</x:v>
      </x:c>
      <x:c r="Y1" s="4" t="str">
        <x:v>EBITDA / operating result</x:v>
      </x:c>
      <x:c r="Z1" s="4" t="str">
        <x:v>Initial investment</x:v>
      </x:c>
      <x:c r="AA1" s="4" t="str">
        <x:v>Net cash flow</x:v>
      </x:c>
      <x:c r="AB1" s="4" t="str">
        <x:v>Discount factor</x:v>
      </x:c>
      <x:c r="AC1" s="4" t="str">
        <x:v>Discounted cash flow</x:v>
      </x:c>
      <x:c r="AD1" s="4" t="str">
        <x:v>Cumulative cash flow</x:v>
      </x:c>
      <x:c r="AE1" s="4" t="str">
        <x:v>Operating break-even flag</x:v>
      </x:c>
      <x:c r="AF1" s="4" t="str">
        <x:v>Payback flag</x:v>
      </x:c>
    </x:row>
    <x:row r="2">
      <x:c r="A2" t="n">
        <x:f>1</x:f>
        <x:v>1</x:v>
      </x:c>
      <x:c r="B2" s="7" t="n">
        <x:f>INDEX('01_ASSUMPTIONS'!$J$5:$J$39,MATCH("starter_initial_customers",'01_ASSUMPTIONS'!$B$5:$B$39,0))+INDEX('01_ASSUMPTIONS'!$J$5:$J$39,MATCH("starter_monthly_acquisition",'01_ASSUMPTIONS'!$B$5:$B$39,0))</x:f>
        <x:v>1.35</x:v>
      </x:c>
      <x:c r="C2" s="7" t="n">
        <x:f>INDEX('01_ASSUMPTIONS'!$J$5:$J$39,MATCH("professional_initial_customers",'01_ASSUMPTIONS'!$B$5:$B$39,0))+INDEX('01_ASSUMPTIONS'!$J$5:$J$39,MATCH("professional_monthly_acquisition",'01_ASSUMPTIONS'!$B$5:$B$39,0))</x:f>
        <x:v>0.12</x:v>
      </x:c>
      <x:c r="D2" s="7" t="n">
        <x:f>INDEX('01_ASSUMPTIONS'!$J$5:$J$39,MATCH("enterprise_initial_customers",'01_ASSUMPTIONS'!$B$5:$B$39,0))+INDEX('01_ASSUMPTIONS'!$J$5:$J$39,MATCH("enterprise_monthly_acquisition",'01_ASSUMPTIONS'!$B$5:$B$39,0))</x:f>
        <x:v>0.03</x:v>
      </x:c>
      <x:c r="E2" s="7" t="n">
        <x:f>SUM(B2:D2)</x:f>
        <x:v>1.5000000000000002</x:v>
      </x:c>
      <x:c r="F2" s="7" t="n">
        <x:f>B2*INDEX('01_ASSUMPTIONS'!$J$5:$J$39,MATCH("starter_studies_per_customer",'01_ASSUMPTIONS'!$B$5:$B$39,0))</x:f>
        <x:v>175.5</x:v>
      </x:c>
      <x:c r="G2" s="7" t="n">
        <x:f>C2*INDEX('01_ASSUMPTIONS'!$J$5:$J$39,MATCH("professional_studies_per_customer",'01_ASSUMPTIONS'!$B$5:$B$39,0))</x:f>
        <x:v>66</x:v>
      </x:c>
      <x:c r="H2" s="7" t="n">
        <x:f>D2*INDEX('01_ASSUMPTIONS'!$J$5:$J$39,MATCH("enterprise_studies_per_customer",'01_ASSUMPTIONS'!$B$5:$B$39,0))</x:f>
        <x:v>48</x:v>
      </x:c>
      <x:c r="I2" s="7" t="n">
        <x:f>SUM(F2:H2)</x:f>
        <x:v>289.5</x:v>
      </x:c>
      <x:c r="J2" s="6" t="n">
        <x:f>B2*INDEX('01_ASSUMPTIONS'!$J$5:$J$39,MATCH("starter_fee",'01_ASSUMPTIONS'!$B$5:$B$39,0))+C2*INDEX('01_ASSUMPTIONS'!$J$5:$J$39,MATCH("professional_fee",'01_ASSUMPTIONS'!$B$5:$B$39,0))+D2*INDEX('01_ASSUMPTIONS'!$J$5:$J$39,MATCH("enterprise_fee",'01_ASSUMPTIONS'!$B$5:$B$39,0))</x:f>
        <x:v>1137</x:v>
      </x:c>
      <x:c r="K2" s="6" t="n">
        <x:f>MAX(F2-B2*INDEX('01_ASSUMPTIONS'!$J$5:$J$39,MATCH("starter_included_studies",'01_ASSUMPTIONS'!$B$5:$B$39,0)),0)*INDEX('01_ASSUMPTIONS'!$J$5:$J$39,MATCH("starter_overage_fee",'01_ASSUMPTIONS'!$B$5:$B$39,0))+MAX(G2-C2*INDEX('01_ASSUMPTIONS'!$J$5:$J$39,MATCH("professional_included_studies",'01_ASSUMPTIONS'!$B$5:$B$39,0)),0)*INDEX('01_ASSUMPTIONS'!$J$5:$J$39,MATCH("professional_overage_fee",'01_ASSUMPTIONS'!$B$5:$B$39,0))+MAX(H2-D2*INDEX('01_ASSUMPTIONS'!$J$5:$J$39,MATCH("enterprise_included_studies",'01_ASSUMPTIONS'!$B$5:$B$39,0)),0)*INDEX('01_ASSUMPTIONS'!$J$5:$J$39,MATCH("enterprise_overage_fee",'01_ASSUMPTIONS'!$B$5:$B$39,0))</x:f>
        <x:v>156</x:v>
      </x:c>
      <x:c r="L2" s="6" t="n">
        <x:f>J2+K2</x:f>
        <x:v>1293</x:v>
      </x:c>
      <x:c r="M2" s="6" t="n">
        <x:f>I2*INDEX('01_ASSUMPTIONS'!$J$5:$J$39,MATCH("cloud_cost_per_study",'01_ASSUMPTIONS'!$B$5:$B$39,0))</x:f>
        <x:v>434.25</x:v>
      </x:c>
      <x:c r="N2" s="6" t="n">
        <x:f>I2*INDEX('01_ASSUMPTIONS'!$J$5:$J$39,MATCH("storage_cost_per_study",'01_ASSUMPTIONS'!$B$5:$B$39,0))</x:f>
        <x:v>63.69</x:v>
      </x:c>
      <x:c r="O2" s="6" t="n">
        <x:f>I2*INDEX('01_ASSUMPTIONS'!$J$5:$J$39,MATCH("ai_processing_cost_per_study",'01_ASSUMPTIONS'!$B$5:$B$39,0))</x:f>
        <x:v>376.35</x:v>
      </x:c>
      <x:c r="P2" s="6" t="n">
        <x:f>E2*INDEX('01_ASSUMPTIONS'!$J$5:$J$39,MATCH("variable_support_per_customer",'01_ASSUMPTIONS'!$B$5:$B$39,0))</x:f>
        <x:v>90.00000000000001</x:v>
      </x:c>
      <x:c r="Q2" s="6" t="n">
        <x:f>SUM(M2:P2)</x:f>
        <x:v>964.29</x:v>
      </x:c>
      <x:c r="R2" s="6" t="n">
        <x:f>INDEX('01_ASSUMPTIONS'!$J$5:$J$39,MATCH("fixed_infra",'01_ASSUMPTIONS'!$B$5:$B$39,0))</x:f>
        <x:v>500</x:v>
      </x:c>
      <x:c r="S2" s="6" t="n">
        <x:f>INDEX('01_ASSUMPTIONS'!$J$5:$J$39,MATCH("software_maintenance",'01_ASSUMPTIONS'!$B$5:$B$39,0))</x:f>
        <x:v>5000</x:v>
      </x:c>
      <x:c r="T2" s="6" t="n">
        <x:f>INDEX('01_ASSUMPTIONS'!$J$5:$J$39,MATCH("base_support",'01_ASSUMPTIONS'!$B$5:$B$39,0))</x:f>
        <x:v>1200</x:v>
      </x:c>
      <x:c r="U2" s="6" t="n">
        <x:f>INDEX('01_ASSUMPTIONS'!$J$5:$J$39,MATCH("admin",'01_ASSUMPTIONS'!$B$5:$B$39,0))</x:f>
        <x:v>600</x:v>
      </x:c>
      <x:c r="V2" s="6" t="n">
        <x:f>INDEX('01_ASSUMPTIONS'!$J$5:$J$39,MATCH("commercial_marketing",'01_ASSUMPTIONS'!$B$5:$B$39,0))</x:f>
        <x:v>1000</x:v>
      </x:c>
      <x:c r="W2" s="6" t="n">
        <x:f>INDEX('01_ASSUMPTIONS'!$J$5:$J$39,MATCH("other_fixed",'01_ASSUMPTIONS'!$B$5:$B$39,0))</x:f>
        <x:v>300</x:v>
      </x:c>
      <x:c r="X2" s="6" t="n">
        <x:f>SUM(R2:W2)</x:f>
        <x:v>8600</x:v>
      </x:c>
      <x:c r="Y2" s="6" t="n">
        <x:f>L2-Q2-X2</x:f>
        <x:v>-8271.29</x:v>
      </x:c>
      <x:c r="Z2" s="6" t="n">
        <x:f>INDEX('01_ASSUMPTIONS'!$J$5:$J$39,MATCH("development_investment",'01_ASSUMPTIONS'!$B$5:$B$39,0))+INDEX('01_ASSUMPTIONS'!$J$5:$J$39,MATCH("cloud_setup",'01_ASSUMPTIONS'!$B$5:$B$39,0))+INDEX('01_ASSUMPTIONS'!$J$5:$J$39,MATCH("launch_setup",'01_ASSUMPTIONS'!$B$5:$B$39,0))</x:f>
        <x:v>23000</x:v>
      </x:c>
      <x:c r="AA2" s="6" t="n">
        <x:f>Y2-Z2</x:f>
        <x:v>-31271.29</x:v>
      </x:c>
      <x:c r="AB2" s="5" t="n">
        <x:f>1/(1+'01_ASSUMPTIONS'!$E$2)^A2</x:f>
        <x:v>0.9815765298737515</x:v>
      </x:c>
      <x:c r="AC2" s="6" t="n">
        <x:f>AA2*AB2</x:f>
        <x:v>-30695.16432287575</x:v>
      </x:c>
      <x:c r="AD2" s="6" t="n">
        <x:f>AA2</x:f>
        <x:v>-31271.29</x:v>
      </x:c>
      <x:c r="AE2" t="str">
        <x:f>IF(Y2&gt;=0,"Yes","No")</x:f>
        <x:v>No</x:v>
      </x:c>
      <x:c r="AF2" t="str">
        <x:f>IF(AD2&gt;=0,"Yes","No")</x:f>
        <x:v>No</x:v>
      </x:c>
    </x:row>
    <x:row r="3">
      <x:c r="A3" t="n">
        <x:f>2</x:f>
        <x:v>2</x:v>
      </x:c>
      <x:c r="B3" s="7" t="n">
        <x:f>B2*(1-INDEX('01_ASSUMPTIONS'!$J$5:$J$39,MATCH("monthly_churn",'01_ASSUMPTIONS'!$B$5:$B$39,0)))+INDEX('01_ASSUMPTIONS'!$J$5:$J$39,MATCH("starter_monthly_acquisition",'01_ASSUMPTIONS'!$B$5:$B$39,0))</x:f>
        <x:v>1.673</x:v>
      </x:c>
      <x:c r="C3" s="7" t="n">
        <x:f>C2*(1-INDEX('01_ASSUMPTIONS'!$J$5:$J$39,MATCH("monthly_churn",'01_ASSUMPTIONS'!$B$5:$B$39,0)))+INDEX('01_ASSUMPTIONS'!$J$5:$J$39,MATCH("professional_monthly_acquisition",'01_ASSUMPTIONS'!$B$5:$B$39,0))</x:f>
        <x:v>0.23759999999999998</x:v>
      </x:c>
      <x:c r="D3" s="7" t="n">
        <x:f>D2*(1-INDEX('01_ASSUMPTIONS'!$J$5:$J$39,MATCH("monthly_churn",'01_ASSUMPTIONS'!$B$5:$B$39,0)))+INDEX('01_ASSUMPTIONS'!$J$5:$J$39,MATCH("enterprise_monthly_acquisition",'01_ASSUMPTIONS'!$B$5:$B$39,0))</x:f>
        <x:v>0.059399999999999994</x:v>
      </x:c>
      <x:c r="E3" s="7" t="n">
        <x:f>SUM(B3:D3)</x:f>
        <x:v>1.97</x:v>
      </x:c>
      <x:c r="F3" s="7" t="n">
        <x:f>B3*INDEX('01_ASSUMPTIONS'!$J$5:$J$39,MATCH("starter_studies_per_customer",'01_ASSUMPTIONS'!$B$5:$B$39,0))</x:f>
        <x:v>217.49</x:v>
      </x:c>
      <x:c r="G3" s="7" t="n">
        <x:f>C3*INDEX('01_ASSUMPTIONS'!$J$5:$J$39,MATCH("professional_studies_per_customer",'01_ASSUMPTIONS'!$B$5:$B$39,0))</x:f>
        <x:v>130.67999999999998</x:v>
      </x:c>
      <x:c r="H3" s="7" t="n">
        <x:f>D3*INDEX('01_ASSUMPTIONS'!$J$5:$J$39,MATCH("enterprise_studies_per_customer",'01_ASSUMPTIONS'!$B$5:$B$39,0))</x:f>
        <x:v>95.03999999999999</x:v>
      </x:c>
      <x:c r="I3" s="7" t="n">
        <x:f>SUM(F3:H3)</x:f>
        <x:v>443.2099999999999</x:v>
      </x:c>
      <x:c r="J3" s="6" t="n">
        <x:f>B3*INDEX('01_ASSUMPTIONS'!$J$5:$J$39,MATCH("starter_fee",'01_ASSUMPTIONS'!$B$5:$B$39,0))+C3*INDEX('01_ASSUMPTIONS'!$J$5:$J$39,MATCH("professional_fee",'01_ASSUMPTIONS'!$B$5:$B$39,0))+D3*INDEX('01_ASSUMPTIONS'!$J$5:$J$39,MATCH("enterprise_fee",'01_ASSUMPTIONS'!$B$5:$B$39,0))</x:f>
        <x:v>1651.26</x:v>
      </x:c>
      <x:c r="K3" s="6" t="n">
        <x:f>MAX(F3-B3*INDEX('01_ASSUMPTIONS'!$J$5:$J$39,MATCH("starter_included_studies",'01_ASSUMPTIONS'!$B$5:$B$39,0)),0)*INDEX('01_ASSUMPTIONS'!$J$5:$J$39,MATCH("starter_overage_fee",'01_ASSUMPTIONS'!$B$5:$B$39,0))+MAX(G3-C3*INDEX('01_ASSUMPTIONS'!$J$5:$J$39,MATCH("professional_included_studies",'01_ASSUMPTIONS'!$B$5:$B$39,0)),0)*INDEX('01_ASSUMPTIONS'!$J$5:$J$39,MATCH("professional_overage_fee",'01_ASSUMPTIONS'!$B$5:$B$39,0))+MAX(H3-D3*INDEX('01_ASSUMPTIONS'!$J$5:$J$39,MATCH("enterprise_included_studies",'01_ASSUMPTIONS'!$B$5:$B$39,0)),0)*INDEX('01_ASSUMPTIONS'!$J$5:$J$39,MATCH("enterprise_overage_fee",'01_ASSUMPTIONS'!$B$5:$B$39,0))</x:f>
        <x:v>228.8800000000001</x:v>
      </x:c>
      <x:c r="L3" s="6" t="n">
        <x:f>J3+K3</x:f>
        <x:v>1880.14</x:v>
      </x:c>
      <x:c r="M3" s="6" t="n">
        <x:f>I3*INDEX('01_ASSUMPTIONS'!$J$5:$J$39,MATCH("cloud_cost_per_study",'01_ASSUMPTIONS'!$B$5:$B$39,0))</x:f>
        <x:v>664.8149999999998</x:v>
      </x:c>
      <x:c r="N3" s="6" t="n">
        <x:f>I3*INDEX('01_ASSUMPTIONS'!$J$5:$J$39,MATCH("storage_cost_per_study",'01_ASSUMPTIONS'!$B$5:$B$39,0))</x:f>
        <x:v>97.50619999999998</x:v>
      </x:c>
      <x:c r="O3" s="6" t="n">
        <x:f>I3*INDEX('01_ASSUMPTIONS'!$J$5:$J$39,MATCH("ai_processing_cost_per_study",'01_ASSUMPTIONS'!$B$5:$B$39,0))</x:f>
        <x:v>576.1729999999999</x:v>
      </x:c>
      <x:c r="P3" s="6" t="n">
        <x:f>E3*INDEX('01_ASSUMPTIONS'!$J$5:$J$39,MATCH("variable_support_per_customer",'01_ASSUMPTIONS'!$B$5:$B$39,0))</x:f>
        <x:v>118.2</x:v>
      </x:c>
      <x:c r="Q3" s="6" t="n">
        <x:f>SUM(M3:P3)</x:f>
        <x:v>1456.6941999999997</x:v>
      </x:c>
      <x:c r="R3" s="6" t="n">
        <x:f>INDEX('01_ASSUMPTIONS'!$J$5:$J$39,MATCH("fixed_infra",'01_ASSUMPTIONS'!$B$5:$B$39,0))</x:f>
        <x:v>500</x:v>
      </x:c>
      <x:c r="S3" s="6" t="n">
        <x:f>INDEX('01_ASSUMPTIONS'!$J$5:$J$39,MATCH("software_maintenance",'01_ASSUMPTIONS'!$B$5:$B$39,0))</x:f>
        <x:v>5000</x:v>
      </x:c>
      <x:c r="T3" s="6" t="n">
        <x:f>INDEX('01_ASSUMPTIONS'!$J$5:$J$39,MATCH("base_support",'01_ASSUMPTIONS'!$B$5:$B$39,0))</x:f>
        <x:v>1200</x:v>
      </x:c>
      <x:c r="U3" s="6" t="n">
        <x:f>INDEX('01_ASSUMPTIONS'!$J$5:$J$39,MATCH("admin",'01_ASSUMPTIONS'!$B$5:$B$39,0))</x:f>
        <x:v>600</x:v>
      </x:c>
      <x:c r="V3" s="6" t="n">
        <x:f>INDEX('01_ASSUMPTIONS'!$J$5:$J$39,MATCH("commercial_marketing",'01_ASSUMPTIONS'!$B$5:$B$39,0))</x:f>
        <x:v>1000</x:v>
      </x:c>
      <x:c r="W3" s="6" t="n">
        <x:f>INDEX('01_ASSUMPTIONS'!$J$5:$J$39,MATCH("other_fixed",'01_ASSUMPTIONS'!$B$5:$B$39,0))</x:f>
        <x:v>300</x:v>
      </x:c>
      <x:c r="X3" s="6" t="n">
        <x:f>SUM(R3:W3)</x:f>
        <x:v>8600</x:v>
      </x:c>
      <x:c r="Y3" s="6" t="n">
        <x:f>L3-Q3-X3</x:f>
        <x:v>-8176.5542</x:v>
      </x:c>
      <x:c r="Z3" s="6" t="n">
        <x:f>0</x:f>
        <x:v>0</x:v>
      </x:c>
      <x:c r="AA3" s="6" t="n">
        <x:f>Y3-Z3</x:f>
        <x:v>-8176.5542</x:v>
      </x:c>
      <x:c r="AB3" s="5" t="n">
        <x:f>1/(1+'01_ASSUMPTIONS'!$E$2)^A3</x:f>
        <x:v>0.9634924839989959</x:v>
      </x:c>
      <x:c r="AC3" s="6" t="n">
        <x:f>AA3*AB3</x:f>
        <x:v>-7878.0485167104225</x:v>
      </x:c>
      <x:c r="AD3" s="6" t="n">
        <x:f>AD2+AA3</x:f>
        <x:v>-39447.8442</x:v>
      </x:c>
      <x:c r="AE3" t="str">
        <x:f>IF(Y3&gt;=0,"Yes","No")</x:f>
        <x:v>No</x:v>
      </x:c>
      <x:c r="AF3" t="str">
        <x:f>IF(AD3&gt;=0,"Yes","No")</x:f>
        <x:v>No</x:v>
      </x:c>
    </x:row>
    <x:row r="4">
      <x:c r="A4" t="n">
        <x:f>3</x:f>
        <x:v>3</x:v>
      </x:c>
      <x:c r="B4" s="7" t="n">
        <x:f>B3*(1-INDEX('01_ASSUMPTIONS'!$J$5:$J$39,MATCH("monthly_churn",'01_ASSUMPTIONS'!$B$5:$B$39,0)))+INDEX('01_ASSUMPTIONS'!$J$5:$J$39,MATCH("starter_monthly_acquisition",'01_ASSUMPTIONS'!$B$5:$B$39,0))</x:f>
        <x:v>1.9895399999999999</x:v>
      </x:c>
      <x:c r="C4" s="7" t="n">
        <x:f>C3*(1-INDEX('01_ASSUMPTIONS'!$J$5:$J$39,MATCH("monthly_churn",'01_ASSUMPTIONS'!$B$5:$B$39,0)))+INDEX('01_ASSUMPTIONS'!$J$5:$J$39,MATCH("professional_monthly_acquisition",'01_ASSUMPTIONS'!$B$5:$B$39,0))</x:f>
        <x:v>0.35284799999999994</x:v>
      </x:c>
      <x:c r="D4" s="7" t="n">
        <x:f>D3*(1-INDEX('01_ASSUMPTIONS'!$J$5:$J$39,MATCH("monthly_churn",'01_ASSUMPTIONS'!$B$5:$B$39,0)))+INDEX('01_ASSUMPTIONS'!$J$5:$J$39,MATCH("enterprise_monthly_acquisition",'01_ASSUMPTIONS'!$B$5:$B$39,0))</x:f>
        <x:v>0.08821199999999998</x:v>
      </x:c>
      <x:c r="E4" s="7" t="n">
        <x:f>SUM(B4:D4)</x:f>
        <x:v>2.4305999999999996</x:v>
      </x:c>
      <x:c r="F4" s="7" t="n">
        <x:f>B4*INDEX('01_ASSUMPTIONS'!$J$5:$J$39,MATCH("starter_studies_per_customer",'01_ASSUMPTIONS'!$B$5:$B$39,0))</x:f>
        <x:v>258.6402</x:v>
      </x:c>
      <x:c r="G4" s="7" t="n">
        <x:f>C4*INDEX('01_ASSUMPTIONS'!$J$5:$J$39,MATCH("professional_studies_per_customer",'01_ASSUMPTIONS'!$B$5:$B$39,0))</x:f>
        <x:v>194.06639999999996</x:v>
      </x:c>
      <x:c r="H4" s="7" t="n">
        <x:f>D4*INDEX('01_ASSUMPTIONS'!$J$5:$J$39,MATCH("enterprise_studies_per_customer",'01_ASSUMPTIONS'!$B$5:$B$39,0))</x:f>
        <x:v>141.1392</x:v>
      </x:c>
      <x:c r="I4" s="7" t="n">
        <x:f>SUM(F4:H4)</x:f>
        <x:v>593.8457999999999</x:v>
      </x:c>
      <x:c r="J4" s="6" t="n">
        <x:f>B4*INDEX('01_ASSUMPTIONS'!$J$5:$J$39,MATCH("starter_fee",'01_ASSUMPTIONS'!$B$5:$B$39,0))+C4*INDEX('01_ASSUMPTIONS'!$J$5:$J$39,MATCH("professional_fee",'01_ASSUMPTIONS'!$B$5:$B$39,0))+D4*INDEX('01_ASSUMPTIONS'!$J$5:$J$39,MATCH("enterprise_fee",'01_ASSUMPTIONS'!$B$5:$B$39,0))</x:f>
        <x:v>2155.2348</x:v>
      </x:c>
      <x:c r="K4" s="6" t="n">
        <x:f>MAX(F4-B4*INDEX('01_ASSUMPTIONS'!$J$5:$J$39,MATCH("starter_included_studies",'01_ASSUMPTIONS'!$B$5:$B$39,0)),0)*INDEX('01_ASSUMPTIONS'!$J$5:$J$39,MATCH("starter_overage_fee",'01_ASSUMPTIONS'!$B$5:$B$39,0))+MAX(G4-C4*INDEX('01_ASSUMPTIONS'!$J$5:$J$39,MATCH("professional_included_studies",'01_ASSUMPTIONS'!$B$5:$B$39,0)),0)*INDEX('01_ASSUMPTIONS'!$J$5:$J$39,MATCH("professional_overage_fee",'01_ASSUMPTIONS'!$B$5:$B$39,0))+MAX(H4-D4*INDEX('01_ASSUMPTIONS'!$J$5:$J$39,MATCH("enterprise_included_studies",'01_ASSUMPTIONS'!$B$5:$B$39,0)),0)*INDEX('01_ASSUMPTIONS'!$J$5:$J$39,MATCH("enterprise_overage_fee",'01_ASSUMPTIONS'!$B$5:$B$39,0))</x:f>
        <x:v>300.30239999999986</x:v>
      </x:c>
      <x:c r="L4" s="6" t="n">
        <x:f>J4+K4</x:f>
        <x:v>2455.5372</x:v>
      </x:c>
      <x:c r="M4" s="6" t="n">
        <x:f>I4*INDEX('01_ASSUMPTIONS'!$J$5:$J$39,MATCH("cloud_cost_per_study",'01_ASSUMPTIONS'!$B$5:$B$39,0))</x:f>
        <x:v>890.7686999999999</x:v>
      </x:c>
      <x:c r="N4" s="6" t="n">
        <x:f>I4*INDEX('01_ASSUMPTIONS'!$J$5:$J$39,MATCH("storage_cost_per_study",'01_ASSUMPTIONS'!$B$5:$B$39,0))</x:f>
        <x:v>130.646076</x:v>
      </x:c>
      <x:c r="O4" s="6" t="n">
        <x:f>I4*INDEX('01_ASSUMPTIONS'!$J$5:$J$39,MATCH("ai_processing_cost_per_study",'01_ASSUMPTIONS'!$B$5:$B$39,0))</x:f>
        <x:v>771.9995399999999</x:v>
      </x:c>
      <x:c r="P4" s="6" t="n">
        <x:f>E4*INDEX('01_ASSUMPTIONS'!$J$5:$J$39,MATCH("variable_support_per_customer",'01_ASSUMPTIONS'!$B$5:$B$39,0))</x:f>
        <x:v>145.83599999999998</x:v>
      </x:c>
      <x:c r="Q4" s="6" t="n">
        <x:f>SUM(M4:P4)</x:f>
        <x:v>1939.2503159999999</x:v>
      </x:c>
      <x:c r="R4" s="6" t="n">
        <x:f>INDEX('01_ASSUMPTIONS'!$J$5:$J$39,MATCH("fixed_infra",'01_ASSUMPTIONS'!$B$5:$B$39,0))</x:f>
        <x:v>500</x:v>
      </x:c>
      <x:c r="S4" s="6" t="n">
        <x:f>INDEX('01_ASSUMPTIONS'!$J$5:$J$39,MATCH("software_maintenance",'01_ASSUMPTIONS'!$B$5:$B$39,0))</x:f>
        <x:v>5000</x:v>
      </x:c>
      <x:c r="T4" s="6" t="n">
        <x:f>INDEX('01_ASSUMPTIONS'!$J$5:$J$39,MATCH("base_support",'01_ASSUMPTIONS'!$B$5:$B$39,0))</x:f>
        <x:v>1200</x:v>
      </x:c>
      <x:c r="U4" s="6" t="n">
        <x:f>INDEX('01_ASSUMPTIONS'!$J$5:$J$39,MATCH("admin",'01_ASSUMPTIONS'!$B$5:$B$39,0))</x:f>
        <x:v>600</x:v>
      </x:c>
      <x:c r="V4" s="6" t="n">
        <x:f>INDEX('01_ASSUMPTIONS'!$J$5:$J$39,MATCH("commercial_marketing",'01_ASSUMPTIONS'!$B$5:$B$39,0))</x:f>
        <x:v>1000</x:v>
      </x:c>
      <x:c r="W4" s="6" t="n">
        <x:f>INDEX('01_ASSUMPTIONS'!$J$5:$J$39,MATCH("other_fixed",'01_ASSUMPTIONS'!$B$5:$B$39,0))</x:f>
        <x:v>300</x:v>
      </x:c>
      <x:c r="X4" s="6" t="n">
        <x:f>SUM(R4:W4)</x:f>
        <x:v>8600</x:v>
      </x:c>
      <x:c r="Y4" s="6" t="n">
        <x:f>L4-Q4-X4</x:f>
        <x:v>-8083.713116</x:v>
      </x:c>
      <x:c r="Z4" s="6" t="n">
        <x:f>0</x:f>
        <x:v>0</x:v>
      </x:c>
      <x:c r="AA4" s="6" t="n">
        <x:f>Y4-Z4</x:f>
        <x:v>-8083.713116</x:v>
      </x:c>
      <x:c r="AB4" s="5" t="n">
        <x:f>1/(1+'01_ASSUMPTIONS'!$E$2)^A4</x:f>
        <x:v>0.9457416090031756</x:v>
      </x:c>
      <x:c r="AC4" s="6" t="n">
        <x:f>AA4*AB4</x:f>
        <x:v>-7645.103849045914</x:v>
      </x:c>
      <x:c r="AD4" s="6" t="n">
        <x:f>AD3+AA4</x:f>
        <x:v>-47531.557316</x:v>
      </x:c>
      <x:c r="AE4" t="str">
        <x:f>IF(Y4&gt;=0,"Yes","No")</x:f>
        <x:v>No</x:v>
      </x:c>
      <x:c r="AF4" t="str">
        <x:f>IF(AD4&gt;=0,"Yes","No")</x:f>
        <x:v>No</x:v>
      </x:c>
    </x:row>
    <x:row r="5">
      <x:c r="A5" t="n">
        <x:f>4</x:f>
        <x:v>4</x:v>
      </x:c>
      <x:c r="B5" s="7" t="n">
        <x:f>B4*(1-INDEX('01_ASSUMPTIONS'!$J$5:$J$39,MATCH("monthly_churn",'01_ASSUMPTIONS'!$B$5:$B$39,0)))+INDEX('01_ASSUMPTIONS'!$J$5:$J$39,MATCH("starter_monthly_acquisition",'01_ASSUMPTIONS'!$B$5:$B$39,0))</x:f>
        <x:v>2.2997492</x:v>
      </x:c>
      <x:c r="C5" s="7" t="n">
        <x:f>C4*(1-INDEX('01_ASSUMPTIONS'!$J$5:$J$39,MATCH("monthly_churn",'01_ASSUMPTIONS'!$B$5:$B$39,0)))+INDEX('01_ASSUMPTIONS'!$J$5:$J$39,MATCH("professional_monthly_acquisition",'01_ASSUMPTIONS'!$B$5:$B$39,0))</x:f>
        <x:v>0.46579103999999993</x:v>
      </x:c>
      <x:c r="D5" s="7" t="n">
        <x:f>D4*(1-INDEX('01_ASSUMPTIONS'!$J$5:$J$39,MATCH("monthly_churn",'01_ASSUMPTIONS'!$B$5:$B$39,0)))+INDEX('01_ASSUMPTIONS'!$J$5:$J$39,MATCH("enterprise_monthly_acquisition",'01_ASSUMPTIONS'!$B$5:$B$39,0))</x:f>
        <x:v>0.11644775999999998</x:v>
      </x:c>
      <x:c r="E5" s="7" t="n">
        <x:f>SUM(B5:D5)</x:f>
        <x:v>2.8819879999999998</x:v>
      </x:c>
      <x:c r="F5" s="7" t="n">
        <x:f>B5*INDEX('01_ASSUMPTIONS'!$J$5:$J$39,MATCH("starter_studies_per_customer",'01_ASSUMPTIONS'!$B$5:$B$39,0))</x:f>
        <x:v>298.967396</x:v>
      </x:c>
      <x:c r="G5" s="7" t="n">
        <x:f>C5*INDEX('01_ASSUMPTIONS'!$J$5:$J$39,MATCH("professional_studies_per_customer",'01_ASSUMPTIONS'!$B$5:$B$39,0))</x:f>
        <x:v>256.185072</x:v>
      </x:c>
      <x:c r="H5" s="7" t="n">
        <x:f>D5*INDEX('01_ASSUMPTIONS'!$J$5:$J$39,MATCH("enterprise_studies_per_customer",'01_ASSUMPTIONS'!$B$5:$B$39,0))</x:f>
        <x:v>186.31641599999998</x:v>
      </x:c>
      <x:c r="I5" s="7" t="n">
        <x:f>SUM(F5:H5)</x:f>
        <x:v>741.468884</x:v>
      </x:c>
      <x:c r="J5" s="6" t="n">
        <x:f>B5*INDEX('01_ASSUMPTIONS'!$J$5:$J$39,MATCH("starter_fee",'01_ASSUMPTIONS'!$B$5:$B$39,0))+C5*INDEX('01_ASSUMPTIONS'!$J$5:$J$39,MATCH("professional_fee",'01_ASSUMPTIONS'!$B$5:$B$39,0))+D5*INDEX('01_ASSUMPTIONS'!$J$5:$J$39,MATCH("enterprise_fee",'01_ASSUMPTIONS'!$B$5:$B$39,0))</x:f>
        <x:v>2649.130104</x:v>
      </x:c>
      <x:c r="K5" s="6" t="n">
        <x:f>MAX(F5-B5*INDEX('01_ASSUMPTIONS'!$J$5:$J$39,MATCH("starter_included_studies",'01_ASSUMPTIONS'!$B$5:$B$39,0)),0)*INDEX('01_ASSUMPTIONS'!$J$5:$J$39,MATCH("starter_overage_fee",'01_ASSUMPTIONS'!$B$5:$B$39,0))+MAX(G5-C5*INDEX('01_ASSUMPTIONS'!$J$5:$J$39,MATCH("professional_included_studies",'01_ASSUMPTIONS'!$B$5:$B$39,0)),0)*INDEX('01_ASSUMPTIONS'!$J$5:$J$39,MATCH("professional_overage_fee",'01_ASSUMPTIONS'!$B$5:$B$39,0))+MAX(H5-D5*INDEX('01_ASSUMPTIONS'!$J$5:$J$39,MATCH("enterprise_included_studies",'01_ASSUMPTIONS'!$B$5:$B$39,0)),0)*INDEX('01_ASSUMPTIONS'!$J$5:$J$39,MATCH("enterprise_overage_fee",'01_ASSUMPTIONS'!$B$5:$B$39,0))</x:f>
        <x:v>370.2963520000003</x:v>
      </x:c>
      <x:c r="L5" s="6" t="n">
        <x:f>J5+K5</x:f>
        <x:v>3019.426456</x:v>
      </x:c>
      <x:c r="M5" s="6" t="n">
        <x:f>I5*INDEX('01_ASSUMPTIONS'!$J$5:$J$39,MATCH("cloud_cost_per_study",'01_ASSUMPTIONS'!$B$5:$B$39,0))</x:f>
        <x:v>1112.203326</x:v>
      </x:c>
      <x:c r="N5" s="6" t="n">
        <x:f>I5*INDEX('01_ASSUMPTIONS'!$J$5:$J$39,MATCH("storage_cost_per_study",'01_ASSUMPTIONS'!$B$5:$B$39,0))</x:f>
        <x:v>163.12315448</x:v>
      </x:c>
      <x:c r="O5" s="6" t="n">
        <x:f>I5*INDEX('01_ASSUMPTIONS'!$J$5:$J$39,MATCH("ai_processing_cost_per_study",'01_ASSUMPTIONS'!$B$5:$B$39,0))</x:f>
        <x:v>963.9095492</x:v>
      </x:c>
      <x:c r="P5" s="6" t="n">
        <x:f>E5*INDEX('01_ASSUMPTIONS'!$J$5:$J$39,MATCH("variable_support_per_customer",'01_ASSUMPTIONS'!$B$5:$B$39,0))</x:f>
        <x:v>172.91928</x:v>
      </x:c>
      <x:c r="Q5" s="6" t="n">
        <x:f>SUM(M5:P5)</x:f>
        <x:v>2412.1553096800003</x:v>
      </x:c>
      <x:c r="R5" s="6" t="n">
        <x:f>INDEX('01_ASSUMPTIONS'!$J$5:$J$39,MATCH("fixed_infra",'01_ASSUMPTIONS'!$B$5:$B$39,0))</x:f>
        <x:v>500</x:v>
      </x:c>
      <x:c r="S5" s="6" t="n">
        <x:f>INDEX('01_ASSUMPTIONS'!$J$5:$J$39,MATCH("software_maintenance",'01_ASSUMPTIONS'!$B$5:$B$39,0))</x:f>
        <x:v>5000</x:v>
      </x:c>
      <x:c r="T5" s="6" t="n">
        <x:f>INDEX('01_ASSUMPTIONS'!$J$5:$J$39,MATCH("base_support",'01_ASSUMPTIONS'!$B$5:$B$39,0))</x:f>
        <x:v>1200</x:v>
      </x:c>
      <x:c r="U5" s="6" t="n">
        <x:f>INDEX('01_ASSUMPTIONS'!$J$5:$J$39,MATCH("admin",'01_ASSUMPTIONS'!$B$5:$B$39,0))</x:f>
        <x:v>600</x:v>
      </x:c>
      <x:c r="V5" s="6" t="n">
        <x:f>INDEX('01_ASSUMPTIONS'!$J$5:$J$39,MATCH("commercial_marketing",'01_ASSUMPTIONS'!$B$5:$B$39,0))</x:f>
        <x:v>1000</x:v>
      </x:c>
      <x:c r="W5" s="6" t="n">
        <x:f>INDEX('01_ASSUMPTIONS'!$J$5:$J$39,MATCH("other_fixed",'01_ASSUMPTIONS'!$B$5:$B$39,0))</x:f>
        <x:v>300</x:v>
      </x:c>
      <x:c r="X5" s="6" t="n">
        <x:f>SUM(R5:W5)</x:f>
        <x:v>8600</x:v>
      </x:c>
      <x:c r="Y5" s="6" t="n">
        <x:f>L5-Q5-X5</x:f>
        <x:v>-7992.728853680001</x:v>
      </x:c>
      <x:c r="Z5" s="6" t="n">
        <x:f>0</x:f>
        <x:v>0</x:v>
      </x:c>
      <x:c r="AA5" s="6" t="n">
        <x:f>Y5-Z5</x:f>
        <x:v>-7992.728853680001</x:v>
      </x:c>
      <x:c r="AB5" s="5" t="n">
        <x:f>1/(1+'01_ASSUMPTIONS'!$E$2)^A5</x:f>
        <x:v>0.9283177667225554</x:v>
      </x:c>
      <x:c r="AC5" s="6" t="n">
        <x:f>AA5*AB5</x:f>
        <x:v>-7419.792199467149</x:v>
      </x:c>
      <x:c r="AD5" s="6" t="n">
        <x:f>AD4+AA5</x:f>
        <x:v>-55524.286169679996</x:v>
      </x:c>
      <x:c r="AE5" t="str">
        <x:f>IF(Y5&gt;=0,"Yes","No")</x:f>
        <x:v>No</x:v>
      </x:c>
      <x:c r="AF5" t="str">
        <x:f>IF(AD5&gt;=0,"Yes","No")</x:f>
        <x:v>No</x:v>
      </x:c>
    </x:row>
    <x:row r="6">
      <x:c r="A6" t="n">
        <x:f>5</x:f>
        <x:v>5</x:v>
      </x:c>
      <x:c r="B6" s="7" t="n">
        <x:f>B5*(1-INDEX('01_ASSUMPTIONS'!$J$5:$J$39,MATCH("monthly_churn",'01_ASSUMPTIONS'!$B$5:$B$39,0)))+INDEX('01_ASSUMPTIONS'!$J$5:$J$39,MATCH("starter_monthly_acquisition",'01_ASSUMPTIONS'!$B$5:$B$39,0))</x:f>
        <x:v>2.603754216</x:v>
      </x:c>
      <x:c r="C6" s="7" t="n">
        <x:f>C5*(1-INDEX('01_ASSUMPTIONS'!$J$5:$J$39,MATCH("monthly_churn",'01_ASSUMPTIONS'!$B$5:$B$39,0)))+INDEX('01_ASSUMPTIONS'!$J$5:$J$39,MATCH("professional_monthly_acquisition",'01_ASSUMPTIONS'!$B$5:$B$39,0))</x:f>
        <x:v>0.5764752192</x:v>
      </x:c>
      <x:c r="D6" s="7" t="n">
        <x:f>D5*(1-INDEX('01_ASSUMPTIONS'!$J$5:$J$39,MATCH("monthly_churn",'01_ASSUMPTIONS'!$B$5:$B$39,0)))+INDEX('01_ASSUMPTIONS'!$J$5:$J$39,MATCH("enterprise_monthly_acquisition",'01_ASSUMPTIONS'!$B$5:$B$39,0))</x:f>
        <x:v>0.1441188048</x:v>
      </x:c>
      <x:c r="E6" s="7" t="n">
        <x:f>SUM(B6:D6)</x:f>
        <x:v>3.3243482400000004</x:v>
      </x:c>
      <x:c r="F6" s="7" t="n">
        <x:f>B6*INDEX('01_ASSUMPTIONS'!$J$5:$J$39,MATCH("starter_studies_per_customer",'01_ASSUMPTIONS'!$B$5:$B$39,0))</x:f>
        <x:v>338.48804808</x:v>
      </x:c>
      <x:c r="G6" s="7" t="n">
        <x:f>C6*INDEX('01_ASSUMPTIONS'!$J$5:$J$39,MATCH("professional_studies_per_customer",'01_ASSUMPTIONS'!$B$5:$B$39,0))</x:f>
        <x:v>317.06137056</x:v>
      </x:c>
      <x:c r="H6" s="7" t="n">
        <x:f>D6*INDEX('01_ASSUMPTIONS'!$J$5:$J$39,MATCH("enterprise_studies_per_customer",'01_ASSUMPTIONS'!$B$5:$B$39,0))</x:f>
        <x:v>230.59008768</x:v>
      </x:c>
      <x:c r="I6" s="7" t="n">
        <x:f>SUM(F6:H6)</x:f>
        <x:v>886.13950632</x:v>
      </x:c>
      <x:c r="J6" s="6" t="n">
        <x:f>B6*INDEX('01_ASSUMPTIONS'!$J$5:$J$39,MATCH("starter_fee",'01_ASSUMPTIONS'!$B$5:$B$39,0))+C6*INDEX('01_ASSUMPTIONS'!$J$5:$J$39,MATCH("professional_fee",'01_ASSUMPTIONS'!$B$5:$B$39,0))+D6*INDEX('01_ASSUMPTIONS'!$J$5:$J$39,MATCH("enterprise_fee",'01_ASSUMPTIONS'!$B$5:$B$39,0))</x:f>
        <x:v>3133.1475019199997</x:v>
      </x:c>
      <x:c r="K6" s="6" t="n">
        <x:f>MAX(F6-B6*INDEX('01_ASSUMPTIONS'!$J$5:$J$39,MATCH("starter_included_studies",'01_ASSUMPTIONS'!$B$5:$B$39,0)),0)*INDEX('01_ASSUMPTIONS'!$J$5:$J$39,MATCH("starter_overage_fee",'01_ASSUMPTIONS'!$B$5:$B$39,0))+MAX(G6-C6*INDEX('01_ASSUMPTIONS'!$J$5:$J$39,MATCH("professional_included_studies",'01_ASSUMPTIONS'!$B$5:$B$39,0)),0)*INDEX('01_ASSUMPTIONS'!$J$5:$J$39,MATCH("professional_overage_fee",'01_ASSUMPTIONS'!$B$5:$B$39,0))+MAX(H6-D6*INDEX('01_ASSUMPTIONS'!$J$5:$J$39,MATCH("enterprise_included_studies",'01_ASSUMPTIONS'!$B$5:$B$39,0)),0)*INDEX('01_ASSUMPTIONS'!$J$5:$J$39,MATCH("enterprise_overage_fee",'01_ASSUMPTIONS'!$B$5:$B$39,0))</x:f>
        <x:v>438.89042496</x:v>
      </x:c>
      <x:c r="L6" s="6" t="n">
        <x:f>J6+K6</x:f>
        <x:v>3572.0379268799998</x:v>
      </x:c>
      <x:c r="M6" s="6" t="n">
        <x:f>I6*INDEX('01_ASSUMPTIONS'!$J$5:$J$39,MATCH("cloud_cost_per_study",'01_ASSUMPTIONS'!$B$5:$B$39,0))</x:f>
        <x:v>1329.2092594800001</x:v>
      </x:c>
      <x:c r="N6" s="6" t="n">
        <x:f>I6*INDEX('01_ASSUMPTIONS'!$J$5:$J$39,MATCH("storage_cost_per_study",'01_ASSUMPTIONS'!$B$5:$B$39,0))</x:f>
        <x:v>194.9506913904</x:v>
      </x:c>
      <x:c r="O6" s="6" t="n">
        <x:f>I6*INDEX('01_ASSUMPTIONS'!$J$5:$J$39,MATCH("ai_processing_cost_per_study",'01_ASSUMPTIONS'!$B$5:$B$39,0))</x:f>
        <x:v>1151.981358216</x:v>
      </x:c>
      <x:c r="P6" s="6" t="n">
        <x:f>E6*INDEX('01_ASSUMPTIONS'!$J$5:$J$39,MATCH("variable_support_per_customer",'01_ASSUMPTIONS'!$B$5:$B$39,0))</x:f>
        <x:v>199.46089440000003</x:v>
      </x:c>
      <x:c r="Q6" s="6" t="n">
        <x:f>SUM(M6:P6)</x:f>
        <x:v>2875.6022034864</x:v>
      </x:c>
      <x:c r="R6" s="6" t="n">
        <x:f>INDEX('01_ASSUMPTIONS'!$J$5:$J$39,MATCH("fixed_infra",'01_ASSUMPTIONS'!$B$5:$B$39,0))</x:f>
        <x:v>500</x:v>
      </x:c>
      <x:c r="S6" s="6" t="n">
        <x:f>INDEX('01_ASSUMPTIONS'!$J$5:$J$39,MATCH("software_maintenance",'01_ASSUMPTIONS'!$B$5:$B$39,0))</x:f>
        <x:v>5000</x:v>
      </x:c>
      <x:c r="T6" s="6" t="n">
        <x:f>INDEX('01_ASSUMPTIONS'!$J$5:$J$39,MATCH("base_support",'01_ASSUMPTIONS'!$B$5:$B$39,0))</x:f>
        <x:v>1200</x:v>
      </x:c>
      <x:c r="U6" s="6" t="n">
        <x:f>INDEX('01_ASSUMPTIONS'!$J$5:$J$39,MATCH("admin",'01_ASSUMPTIONS'!$B$5:$B$39,0))</x:f>
        <x:v>600</x:v>
      </x:c>
      <x:c r="V6" s="6" t="n">
        <x:f>INDEX('01_ASSUMPTIONS'!$J$5:$J$39,MATCH("commercial_marketing",'01_ASSUMPTIONS'!$B$5:$B$39,0))</x:f>
        <x:v>1000</x:v>
      </x:c>
      <x:c r="W6" s="6" t="n">
        <x:f>INDEX('01_ASSUMPTIONS'!$J$5:$J$39,MATCH("other_fixed",'01_ASSUMPTIONS'!$B$5:$B$39,0))</x:f>
        <x:v>300</x:v>
      </x:c>
      <x:c r="X6" s="6" t="n">
        <x:f>SUM(R6:W6)</x:f>
        <x:v>8600</x:v>
      </x:c>
      <x:c r="Y6" s="6" t="n">
        <x:f>L6-Q6-X6</x:f>
        <x:v>-7903.5642766064</x:v>
      </x:c>
      <x:c r="Z6" s="6" t="n">
        <x:f>0</x:f>
        <x:v>0</x:v>
      </x:c>
      <x:c r="AA6" s="6" t="n">
        <x:f>Y6-Z6</x:f>
        <x:v>-7903.5642766064</x:v>
      </x:c>
      <x:c r="AB6" s="5" t="n">
        <x:f>1/(1+'01_ASSUMPTIONS'!$E$2)^A6</x:f>
        <x:v>0.9112149320796767</x:v>
      </x:c>
      <x:c r="AC6" s="6" t="n">
        <x:f>AA6*AB6</x:f>
        <x:v>-7201.84578549526</x:v>
      </x:c>
      <x:c r="AD6" s="6" t="n">
        <x:f>AD5+AA6</x:f>
        <x:v>-63427.85044628639</x:v>
      </x:c>
      <x:c r="AE6" t="str">
        <x:f>IF(Y6&gt;=0,"Yes","No")</x:f>
        <x:v>No</x:v>
      </x:c>
      <x:c r="AF6" t="str">
        <x:f>IF(AD6&gt;=0,"Yes","No")</x:f>
        <x:v>No</x:v>
      </x:c>
    </x:row>
    <x:row r="7">
      <x:c r="A7" t="n">
        <x:f>6</x:f>
        <x:v>6</x:v>
      </x:c>
      <x:c r="B7" s="7" t="n">
        <x:f>B6*(1-INDEX('01_ASSUMPTIONS'!$J$5:$J$39,MATCH("monthly_churn",'01_ASSUMPTIONS'!$B$5:$B$39,0)))+INDEX('01_ASSUMPTIONS'!$J$5:$J$39,MATCH("starter_monthly_acquisition",'01_ASSUMPTIONS'!$B$5:$B$39,0))</x:f>
        <x:v>2.90167913168</x:v>
      </x:c>
      <x:c r="C7" s="7" t="n">
        <x:f>C6*(1-INDEX('01_ASSUMPTIONS'!$J$5:$J$39,MATCH("monthly_churn",'01_ASSUMPTIONS'!$B$5:$B$39,0)))+INDEX('01_ASSUMPTIONS'!$J$5:$J$39,MATCH("professional_monthly_acquisition",'01_ASSUMPTIONS'!$B$5:$B$39,0))</x:f>
        <x:v>0.684945714816</x:v>
      </x:c>
      <x:c r="D7" s="7" t="n">
        <x:f>D6*(1-INDEX('01_ASSUMPTIONS'!$J$5:$J$39,MATCH("monthly_churn",'01_ASSUMPTIONS'!$B$5:$B$39,0)))+INDEX('01_ASSUMPTIONS'!$J$5:$J$39,MATCH("enterprise_monthly_acquisition",'01_ASSUMPTIONS'!$B$5:$B$39,0))</x:f>
        <x:v>0.171236428704</x:v>
      </x:c>
      <x:c r="E7" s="7" t="n">
        <x:f>SUM(B7:D7)</x:f>
        <x:v>3.7578612752</x:v>
      </x:c>
      <x:c r="F7" s="7" t="n">
        <x:f>B7*INDEX('01_ASSUMPTIONS'!$J$5:$J$39,MATCH("starter_studies_per_customer",'01_ASSUMPTIONS'!$B$5:$B$39,0))</x:f>
        <x:v>377.2182871184</x:v>
      </x:c>
      <x:c r="G7" s="7" t="n">
        <x:f>C7*INDEX('01_ASSUMPTIONS'!$J$5:$J$39,MATCH("professional_studies_per_customer",'01_ASSUMPTIONS'!$B$5:$B$39,0))</x:f>
        <x:v>376.7201431488</x:v>
      </x:c>
      <x:c r="H7" s="7" t="n">
        <x:f>D7*INDEX('01_ASSUMPTIONS'!$J$5:$J$39,MATCH("enterprise_studies_per_customer",'01_ASSUMPTIONS'!$B$5:$B$39,0))</x:f>
        <x:v>273.97828592639996</x:v>
      </x:c>
      <x:c r="I7" s="7" t="n">
        <x:f>SUM(F7:H7)</x:f>
        <x:v>1027.9167161935998</x:v>
      </x:c>
      <x:c r="J7" s="6" t="n">
        <x:f>B7*INDEX('01_ASSUMPTIONS'!$J$5:$J$39,MATCH("starter_fee",'01_ASSUMPTIONS'!$B$5:$B$39,0))+C7*INDEX('01_ASSUMPTIONS'!$J$5:$J$39,MATCH("professional_fee",'01_ASSUMPTIONS'!$B$5:$B$39,0))+D7*INDEX('01_ASSUMPTIONS'!$J$5:$J$39,MATCH("enterprise_fee",'01_ASSUMPTIONS'!$B$5:$B$39,0))</x:f>
        <x:v>3607.4845518816</x:v>
      </x:c>
      <x:c r="K7" s="6" t="n">
        <x:f>MAX(F7-B7*INDEX('01_ASSUMPTIONS'!$J$5:$J$39,MATCH("starter_included_studies",'01_ASSUMPTIONS'!$B$5:$B$39,0)),0)*INDEX('01_ASSUMPTIONS'!$J$5:$J$39,MATCH("starter_overage_fee",'01_ASSUMPTIONS'!$B$5:$B$39,0))+MAX(G7-C7*INDEX('01_ASSUMPTIONS'!$J$5:$J$39,MATCH("professional_included_studies",'01_ASSUMPTIONS'!$B$5:$B$39,0)),0)*INDEX('01_ASSUMPTIONS'!$J$5:$J$39,MATCH("professional_overage_fee",'01_ASSUMPTIONS'!$B$5:$B$39,0))+MAX(H7-D7*INDEX('01_ASSUMPTIONS'!$J$5:$J$39,MATCH("enterprise_included_studies",'01_ASSUMPTIONS'!$B$5:$B$39,0)),0)*INDEX('01_ASSUMPTIONS'!$J$5:$J$39,MATCH("enterprise_overage_fee",'01_ASSUMPTIONS'!$B$5:$B$39,0))</x:f>
        <x:v>506.1126164607998</x:v>
      </x:c>
      <x:c r="L7" s="6" t="n">
        <x:f>J7+K7</x:f>
        <x:v>4113.5971683423995</x:v>
      </x:c>
      <x:c r="M7" s="6" t="n">
        <x:f>I7*INDEX('01_ASSUMPTIONS'!$J$5:$J$39,MATCH("cloud_cost_per_study",'01_ASSUMPTIONS'!$B$5:$B$39,0))</x:f>
        <x:v>1541.8750742903997</x:v>
      </x:c>
      <x:c r="N7" s="6" t="n">
        <x:f>I7*INDEX('01_ASSUMPTIONS'!$J$5:$J$39,MATCH("storage_cost_per_study",'01_ASSUMPTIONS'!$B$5:$B$39,0))</x:f>
        <x:v>226.14167756259195</x:v>
      </x:c>
      <x:c r="O7" s="6" t="n">
        <x:f>I7*INDEX('01_ASSUMPTIONS'!$J$5:$J$39,MATCH("ai_processing_cost_per_study",'01_ASSUMPTIONS'!$B$5:$B$39,0))</x:f>
        <x:v>1336.2917310516798</x:v>
      </x:c>
      <x:c r="P7" s="6" t="n">
        <x:f>E7*INDEX('01_ASSUMPTIONS'!$J$5:$J$39,MATCH("variable_support_per_customer",'01_ASSUMPTIONS'!$B$5:$B$39,0))</x:f>
        <x:v>225.471676512</x:v>
      </x:c>
      <x:c r="Q7" s="6" t="n">
        <x:f>SUM(M7:P7)</x:f>
        <x:v>3329.7801594166713</x:v>
      </x:c>
      <x:c r="R7" s="6" t="n">
        <x:f>INDEX('01_ASSUMPTIONS'!$J$5:$J$39,MATCH("fixed_infra",'01_ASSUMPTIONS'!$B$5:$B$39,0))</x:f>
        <x:v>500</x:v>
      </x:c>
      <x:c r="S7" s="6" t="n">
        <x:f>INDEX('01_ASSUMPTIONS'!$J$5:$J$39,MATCH("software_maintenance",'01_ASSUMPTIONS'!$B$5:$B$39,0))</x:f>
        <x:v>5000</x:v>
      </x:c>
      <x:c r="T7" s="6" t="n">
        <x:f>INDEX('01_ASSUMPTIONS'!$J$5:$J$39,MATCH("base_support",'01_ASSUMPTIONS'!$B$5:$B$39,0))</x:f>
        <x:v>1200</x:v>
      </x:c>
      <x:c r="U7" s="6" t="n">
        <x:f>INDEX('01_ASSUMPTIONS'!$J$5:$J$39,MATCH("admin",'01_ASSUMPTIONS'!$B$5:$B$39,0))</x:f>
        <x:v>600</x:v>
      </x:c>
      <x:c r="V7" s="6" t="n">
        <x:f>INDEX('01_ASSUMPTIONS'!$J$5:$J$39,MATCH("commercial_marketing",'01_ASSUMPTIONS'!$B$5:$B$39,0))</x:f>
        <x:v>1000</x:v>
      </x:c>
      <x:c r="W7" s="6" t="n">
        <x:f>INDEX('01_ASSUMPTIONS'!$J$5:$J$39,MATCH("other_fixed",'01_ASSUMPTIONS'!$B$5:$B$39,0))</x:f>
        <x:v>300</x:v>
      </x:c>
      <x:c r="X7" s="6" t="n">
        <x:f>SUM(R7:W7)</x:f>
        <x:v>8600</x:v>
      </x:c>
      <x:c r="Y7" s="6" t="n">
        <x:f>L7-Q7-X7</x:f>
        <x:v>-7816.182991074272</x:v>
      </x:c>
      <x:c r="Z7" s="6" t="n">
        <x:f>0</x:f>
        <x:v>0</x:v>
      </x:c>
      <x:c r="AA7" s="6" t="n">
        <x:f>Y7-Z7</x:f>
        <x:v>-7816.182991074272</x:v>
      </x:c>
      <x:c r="AB7" s="5" t="n">
        <x:f>1/(1+'01_ASSUMPTIONS'!$E$2)^A7</x:f>
        <x:v>0.8944271909999155</x:v>
      </x:c>
      <x:c r="AC7" s="6" t="n">
        <x:f>AA7*AB7</x:f>
        <x:v>-6991.006597047879</x:v>
      </x:c>
      <x:c r="AD7" s="6" t="n">
        <x:f>AD6+AA7</x:f>
        <x:v>-71244.03343736066</x:v>
      </x:c>
      <x:c r="AE7" t="str">
        <x:f>IF(Y7&gt;=0,"Yes","No")</x:f>
        <x:v>No</x:v>
      </x:c>
      <x:c r="AF7" t="str">
        <x:f>IF(AD7&gt;=0,"Yes","No")</x:f>
        <x:v>No</x:v>
      </x:c>
    </x:row>
    <x:row r="8">
      <x:c r="A8" t="n">
        <x:f>7</x:f>
        <x:v>7</x:v>
      </x:c>
      <x:c r="B8" s="7" t="n">
        <x:f>B7*(1-INDEX('01_ASSUMPTIONS'!$J$5:$J$39,MATCH("monthly_churn",'01_ASSUMPTIONS'!$B$5:$B$39,0)))+INDEX('01_ASSUMPTIONS'!$J$5:$J$39,MATCH("starter_monthly_acquisition",'01_ASSUMPTIONS'!$B$5:$B$39,0))</x:f>
        <x:v>3.1936455490464</x:v>
      </x:c>
      <x:c r="C8" s="7" t="n">
        <x:f>C7*(1-INDEX('01_ASSUMPTIONS'!$J$5:$J$39,MATCH("monthly_churn",'01_ASSUMPTIONS'!$B$5:$B$39,0)))+INDEX('01_ASSUMPTIONS'!$J$5:$J$39,MATCH("professional_monthly_acquisition",'01_ASSUMPTIONS'!$B$5:$B$39,0))</x:f>
        <x:v>0.79124680051968</x:v>
      </x:c>
      <x:c r="D8" s="7" t="n">
        <x:f>D7*(1-INDEX('01_ASSUMPTIONS'!$J$5:$J$39,MATCH("monthly_churn",'01_ASSUMPTIONS'!$B$5:$B$39,0)))+INDEX('01_ASSUMPTIONS'!$J$5:$J$39,MATCH("enterprise_monthly_acquisition",'01_ASSUMPTIONS'!$B$5:$B$39,0))</x:f>
        <x:v>0.19781170012992</x:v>
      </x:c>
      <x:c r="E8" s="7" t="n">
        <x:f>SUM(B8:D8)</x:f>
        <x:v>4.1827040496959995</x:v>
      </x:c>
      <x:c r="F8" s="7" t="n">
        <x:f>B8*INDEX('01_ASSUMPTIONS'!$J$5:$J$39,MATCH("starter_studies_per_customer",'01_ASSUMPTIONS'!$B$5:$B$39,0))</x:f>
        <x:v>415.173921376032</x:v>
      </x:c>
      <x:c r="G8" s="7" t="n">
        <x:f>C8*INDEX('01_ASSUMPTIONS'!$J$5:$J$39,MATCH("professional_studies_per_customer",'01_ASSUMPTIONS'!$B$5:$B$39,0))</x:f>
        <x:v>435.185740285824</x:v>
      </x:c>
      <x:c r="H8" s="7" t="n">
        <x:f>D8*INDEX('01_ASSUMPTIONS'!$J$5:$J$39,MATCH("enterprise_studies_per_customer",'01_ASSUMPTIONS'!$B$5:$B$39,0))</x:f>
        <x:v>316.498720207872</x:v>
      </x:c>
      <x:c r="I8" s="7" t="n">
        <x:f>SUM(F8:H8)</x:f>
        <x:v>1166.858381869728</x:v>
      </x:c>
      <x:c r="J8" s="6" t="n">
        <x:f>B8*INDEX('01_ASSUMPTIONS'!$J$5:$J$39,MATCH("starter_fee",'01_ASSUMPTIONS'!$B$5:$B$39,0))+C8*INDEX('01_ASSUMPTIONS'!$J$5:$J$39,MATCH("professional_fee",'01_ASSUMPTIONS'!$B$5:$B$39,0))+D8*INDEX('01_ASSUMPTIONS'!$J$5:$J$39,MATCH("enterprise_fee",'01_ASSUMPTIONS'!$B$5:$B$39,0))</x:f>
        <x:v>4072.334860843968</x:v>
      </x:c>
      <x:c r="K8" s="6" t="n">
        <x:f>MAX(F8-B8*INDEX('01_ASSUMPTIONS'!$J$5:$J$39,MATCH("starter_included_studies",'01_ASSUMPTIONS'!$B$5:$B$39,0)),0)*INDEX('01_ASSUMPTIONS'!$J$5:$J$39,MATCH("starter_overage_fee",'01_ASSUMPTIONS'!$B$5:$B$39,0))+MAX(G8-C8*INDEX('01_ASSUMPTIONS'!$J$5:$J$39,MATCH("professional_included_studies",'01_ASSUMPTIONS'!$B$5:$B$39,0)),0)*INDEX('01_ASSUMPTIONS'!$J$5:$J$39,MATCH("professional_overage_fee",'01_ASSUMPTIONS'!$B$5:$B$39,0))+MAX(H8-D8*INDEX('01_ASSUMPTIONS'!$J$5:$J$39,MATCH("enterprise_included_studies",'01_ASSUMPTIONS'!$B$5:$B$39,0)),0)*INDEX('01_ASSUMPTIONS'!$J$5:$J$39,MATCH("enterprise_overage_fee",'01_ASSUMPTIONS'!$B$5:$B$39,0))</x:f>
        <x:v>571.9903641315844</x:v>
      </x:c>
      <x:c r="L8" s="6" t="n">
        <x:f>J8+K8</x:f>
        <x:v>4644.325224975552</x:v>
      </x:c>
      <x:c r="M8" s="6" t="n">
        <x:f>I8*INDEX('01_ASSUMPTIONS'!$J$5:$J$39,MATCH("cloud_cost_per_study",'01_ASSUMPTIONS'!$B$5:$B$39,0))</x:f>
        <x:v>1750.287572804592</x:v>
      </x:c>
      <x:c r="N8" s="6" t="n">
        <x:f>I8*INDEX('01_ASSUMPTIONS'!$J$5:$J$39,MATCH("storage_cost_per_study",'01_ASSUMPTIONS'!$B$5:$B$39,0))</x:f>
        <x:v>256.70884401134015</x:v>
      </x:c>
      <x:c r="O8" s="6" t="n">
        <x:f>I8*INDEX('01_ASSUMPTIONS'!$J$5:$J$39,MATCH("ai_processing_cost_per_study",'01_ASSUMPTIONS'!$B$5:$B$39,0))</x:f>
        <x:v>1516.9158964306464</x:v>
      </x:c>
      <x:c r="P8" s="6" t="n">
        <x:f>E8*INDEX('01_ASSUMPTIONS'!$J$5:$J$39,MATCH("variable_support_per_customer",'01_ASSUMPTIONS'!$B$5:$B$39,0))</x:f>
        <x:v>250.96224298175997</x:v>
      </x:c>
      <x:c r="Q8" s="6" t="n">
        <x:f>SUM(M8:P8)</x:f>
        <x:v>3774.8745562283384</x:v>
      </x:c>
      <x:c r="R8" s="6" t="n">
        <x:f>INDEX('01_ASSUMPTIONS'!$J$5:$J$39,MATCH("fixed_infra",'01_ASSUMPTIONS'!$B$5:$B$39,0))</x:f>
        <x:v>500</x:v>
      </x:c>
      <x:c r="S8" s="6" t="n">
        <x:f>INDEX('01_ASSUMPTIONS'!$J$5:$J$39,MATCH("software_maintenance",'01_ASSUMPTIONS'!$B$5:$B$39,0))</x:f>
        <x:v>5000</x:v>
      </x:c>
      <x:c r="T8" s="6" t="n">
        <x:f>INDEX('01_ASSUMPTIONS'!$J$5:$J$39,MATCH("base_support",'01_ASSUMPTIONS'!$B$5:$B$39,0))</x:f>
        <x:v>1200</x:v>
      </x:c>
      <x:c r="U8" s="6" t="n">
        <x:f>INDEX('01_ASSUMPTIONS'!$J$5:$J$39,MATCH("admin",'01_ASSUMPTIONS'!$B$5:$B$39,0))</x:f>
        <x:v>600</x:v>
      </x:c>
      <x:c r="V8" s="6" t="n">
        <x:f>INDEX('01_ASSUMPTIONS'!$J$5:$J$39,MATCH("commercial_marketing",'01_ASSUMPTIONS'!$B$5:$B$39,0))</x:f>
        <x:v>1000</x:v>
      </x:c>
      <x:c r="W8" s="6" t="n">
        <x:f>INDEX('01_ASSUMPTIONS'!$J$5:$J$39,MATCH("other_fixed",'01_ASSUMPTIONS'!$B$5:$B$39,0))</x:f>
        <x:v>300</x:v>
      </x:c>
      <x:c r="X8" s="6" t="n">
        <x:f>SUM(R8:W8)</x:f>
        <x:v>8600</x:v>
      </x:c>
      <x:c r="Y8" s="6" t="n">
        <x:f>L8-Q8-X8</x:f>
        <x:v>-7730.549331252786</x:v>
      </x:c>
      <x:c r="Z8" s="6" t="n">
        <x:f>0</x:f>
        <x:v>0</x:v>
      </x:c>
      <x:c r="AA8" s="6" t="n">
        <x:f>Y8-Z8</x:f>
        <x:v>-7730.549331252786</x:v>
      </x:c>
      <x:c r="AB8" s="5" t="n">
        <x:f>1/(1+'01_ASSUMPTIONS'!$E$2)^A8</x:f>
        <x:v>0.8779487383664242</x:v>
      </x:c>
      <x:c r="AC8" s="6" t="n">
        <x:f>AA8*AB8</x:f>
        <x:v>-6787.026032252787</x:v>
      </x:c>
      <x:c r="AD8" s="6" t="n">
        <x:f>AD7+AA8</x:f>
        <x:v>-78974.58276861344</x:v>
      </x:c>
      <x:c r="AE8" t="str">
        <x:f>IF(Y8&gt;=0,"Yes","No")</x:f>
        <x:v>No</x:v>
      </x:c>
      <x:c r="AF8" t="str">
        <x:f>IF(AD8&gt;=0,"Yes","No")</x:f>
        <x:v>No</x:v>
      </x:c>
    </x:row>
    <x:row r="9">
      <x:c r="A9" t="n">
        <x:f>8</x:f>
        <x:v>8</x:v>
      </x:c>
      <x:c r="B9" s="7" t="n">
        <x:f>B8*(1-INDEX('01_ASSUMPTIONS'!$J$5:$J$39,MATCH("monthly_churn",'01_ASSUMPTIONS'!$B$5:$B$39,0)))+INDEX('01_ASSUMPTIONS'!$J$5:$J$39,MATCH("starter_monthly_acquisition",'01_ASSUMPTIONS'!$B$5:$B$39,0))</x:f>
        <x:v>3.479772638065472</x:v>
      </x:c>
      <x:c r="C9" s="7" t="n">
        <x:f>C8*(1-INDEX('01_ASSUMPTIONS'!$J$5:$J$39,MATCH("monthly_churn",'01_ASSUMPTIONS'!$B$5:$B$39,0)))+INDEX('01_ASSUMPTIONS'!$J$5:$J$39,MATCH("professional_monthly_acquisition",'01_ASSUMPTIONS'!$B$5:$B$39,0))</x:f>
        <x:v>0.8954218645092864</x:v>
      </x:c>
      <x:c r="D9" s="7" t="n">
        <x:f>D8*(1-INDEX('01_ASSUMPTIONS'!$J$5:$J$39,MATCH("monthly_churn",'01_ASSUMPTIONS'!$B$5:$B$39,0)))+INDEX('01_ASSUMPTIONS'!$J$5:$J$39,MATCH("enterprise_monthly_acquisition",'01_ASSUMPTIONS'!$B$5:$B$39,0))</x:f>
        <x:v>0.2238554661273216</x:v>
      </x:c>
      <x:c r="E9" s="7" t="n">
        <x:f>SUM(B9:D9)</x:f>
        <x:v>4.59904996870208</x:v>
      </x:c>
      <x:c r="F9" s="7" t="n">
        <x:f>B9*INDEX('01_ASSUMPTIONS'!$J$5:$J$39,MATCH("starter_studies_per_customer",'01_ASSUMPTIONS'!$B$5:$B$39,0))</x:f>
        <x:v>452.37044294851137</x:v>
      </x:c>
      <x:c r="G9" s="7" t="n">
        <x:f>C9*INDEX('01_ASSUMPTIONS'!$J$5:$J$39,MATCH("professional_studies_per_customer",'01_ASSUMPTIONS'!$B$5:$B$39,0))</x:f>
        <x:v>492.4820254801075</x:v>
      </x:c>
      <x:c r="H9" s="7" t="n">
        <x:f>D9*INDEX('01_ASSUMPTIONS'!$J$5:$J$39,MATCH("enterprise_studies_per_customer",'01_ASSUMPTIONS'!$B$5:$B$39,0))</x:f>
        <x:v>358.16874580371456</x:v>
      </x:c>
      <x:c r="I9" s="7" t="n">
        <x:f>SUM(F9:H9)</x:f>
        <x:v>1303.0212142323335</x:v>
      </x:c>
      <x:c r="J9" s="6" t="n">
        <x:f>B9*INDEX('01_ASSUMPTIONS'!$J$5:$J$39,MATCH("starter_fee",'01_ASSUMPTIONS'!$B$5:$B$39,0))+C9*INDEX('01_ASSUMPTIONS'!$J$5:$J$39,MATCH("professional_fee",'01_ASSUMPTIONS'!$B$5:$B$39,0))+D9*INDEX('01_ASSUMPTIONS'!$J$5:$J$39,MATCH("enterprise_fee",'01_ASSUMPTIONS'!$B$5:$B$39,0))</x:f>
        <x:v>4527.888163627089</x:v>
      </x:c>
      <x:c r="K9" s="6" t="n">
        <x:f>MAX(F9-B9*INDEX('01_ASSUMPTIONS'!$J$5:$J$39,MATCH("starter_included_studies",'01_ASSUMPTIONS'!$B$5:$B$39,0)),0)*INDEX('01_ASSUMPTIONS'!$J$5:$J$39,MATCH("starter_overage_fee",'01_ASSUMPTIONS'!$B$5:$B$39,0))+MAX(G9-C9*INDEX('01_ASSUMPTIONS'!$J$5:$J$39,MATCH("professional_included_studies",'01_ASSUMPTIONS'!$B$5:$B$39,0)),0)*INDEX('01_ASSUMPTIONS'!$J$5:$J$39,MATCH("professional_overage_fee",'01_ASSUMPTIONS'!$B$5:$B$39,0))+MAX(H9-D9*INDEX('01_ASSUMPTIONS'!$J$5:$J$39,MATCH("enterprise_included_studies",'01_ASSUMPTIONS'!$B$5:$B$39,0)),0)*INDEX('01_ASSUMPTIONS'!$J$5:$J$39,MATCH("enterprise_overage_fee",'01_ASSUMPTIONS'!$B$5:$B$39,0))</x:f>
        <x:v>636.5505568489522</x:v>
      </x:c>
      <x:c r="L9" s="6" t="n">
        <x:f>J9+K9</x:f>
        <x:v>5164.438720476041</x:v>
      </x:c>
      <x:c r="M9" s="6" t="n">
        <x:f>I9*INDEX('01_ASSUMPTIONS'!$J$5:$J$39,MATCH("cloud_cost_per_study",'01_ASSUMPTIONS'!$B$5:$B$39,0))</x:f>
        <x:v>1954.5318213485002</x:v>
      </x:c>
      <x:c r="N9" s="6" t="n">
        <x:f>I9*INDEX('01_ASSUMPTIONS'!$J$5:$J$39,MATCH("storage_cost_per_study",'01_ASSUMPTIONS'!$B$5:$B$39,0))</x:f>
        <x:v>286.6646671311134</x:v>
      </x:c>
      <x:c r="O9" s="6" t="n">
        <x:f>I9*INDEX('01_ASSUMPTIONS'!$J$5:$J$39,MATCH("ai_processing_cost_per_study",'01_ASSUMPTIONS'!$B$5:$B$39,0))</x:f>
        <x:v>1693.9275785020336</x:v>
      </x:c>
      <x:c r="P9" s="6" t="n">
        <x:f>E9*INDEX('01_ASSUMPTIONS'!$J$5:$J$39,MATCH("variable_support_per_customer",'01_ASSUMPTIONS'!$B$5:$B$39,0))</x:f>
        <x:v>275.94299812212483</x:v>
      </x:c>
      <x:c r="Q9" s="6" t="n">
        <x:f>SUM(M9:P9)</x:f>
        <x:v>4211.067065103772</x:v>
      </x:c>
      <x:c r="R9" s="6" t="n">
        <x:f>INDEX('01_ASSUMPTIONS'!$J$5:$J$39,MATCH("fixed_infra",'01_ASSUMPTIONS'!$B$5:$B$39,0))</x:f>
        <x:v>500</x:v>
      </x:c>
      <x:c r="S9" s="6" t="n">
        <x:f>INDEX('01_ASSUMPTIONS'!$J$5:$J$39,MATCH("software_maintenance",'01_ASSUMPTIONS'!$B$5:$B$39,0))</x:f>
        <x:v>5000</x:v>
      </x:c>
      <x:c r="T9" s="6" t="n">
        <x:f>INDEX('01_ASSUMPTIONS'!$J$5:$J$39,MATCH("base_support",'01_ASSUMPTIONS'!$B$5:$B$39,0))</x:f>
        <x:v>1200</x:v>
      </x:c>
      <x:c r="U9" s="6" t="n">
        <x:f>INDEX('01_ASSUMPTIONS'!$J$5:$J$39,MATCH("admin",'01_ASSUMPTIONS'!$B$5:$B$39,0))</x:f>
        <x:v>600</x:v>
      </x:c>
      <x:c r="V9" s="6" t="n">
        <x:f>INDEX('01_ASSUMPTIONS'!$J$5:$J$39,MATCH("commercial_marketing",'01_ASSUMPTIONS'!$B$5:$B$39,0))</x:f>
        <x:v>1000</x:v>
      </x:c>
      <x:c r="W9" s="6" t="n">
        <x:f>INDEX('01_ASSUMPTIONS'!$J$5:$J$39,MATCH("other_fixed",'01_ASSUMPTIONS'!$B$5:$B$39,0))</x:f>
        <x:v>300</x:v>
      </x:c>
      <x:c r="X9" s="6" t="n">
        <x:f>SUM(R9:W9)</x:f>
        <x:v>8600</x:v>
      </x:c>
      <x:c r="Y9" s="6" t="n">
        <x:f>L9-Q9-X9</x:f>
        <x:v>-7646.62834462773</x:v>
      </x:c>
      <x:c r="Z9" s="6" t="n">
        <x:f>0</x:f>
        <x:v>0</x:v>
      </x:c>
      <x:c r="AA9" s="6" t="n">
        <x:f>Y9-Z9</x:f>
        <x:v>-7646.62834462773</x:v>
      </x:c>
      <x:c r="AB9" s="5" t="n">
        <x:f>1/(1+'01_ASSUMPTIONS'!$E$2)^A9</x:f>
        <x:v>0.8617738760127529</x:v>
      </x:c>
      <x:c r="AC9" s="6" t="n">
        <x:f>AA9*AB9</x:f>
        <x:v>-6589.66454697882</x:v>
      </x:c>
      <x:c r="AD9" s="6" t="n">
        <x:f>AD8+AA9</x:f>
        <x:v>-86621.21111324118</x:v>
      </x:c>
      <x:c r="AE9" t="str">
        <x:f>IF(Y9&gt;=0,"Yes","No")</x:f>
        <x:v>No</x:v>
      </x:c>
      <x:c r="AF9" t="str">
        <x:f>IF(AD9&gt;=0,"Yes","No")</x:f>
        <x:v>No</x:v>
      </x:c>
    </x:row>
    <x:row r="10">
      <x:c r="A10" t="n">
        <x:f>9</x:f>
        <x:v>9</x:v>
      </x:c>
      <x:c r="B10" s="7" t="n">
        <x:f>B9*(1-INDEX('01_ASSUMPTIONS'!$J$5:$J$39,MATCH("monthly_churn",'01_ASSUMPTIONS'!$B$5:$B$39,0)))+INDEX('01_ASSUMPTIONS'!$J$5:$J$39,MATCH("starter_monthly_acquisition",'01_ASSUMPTIONS'!$B$5:$B$39,0))</x:f>
        <x:v>3.760177185304163</x:v>
      </x:c>
      <x:c r="C10" s="7" t="n">
        <x:f>C9*(1-INDEX('01_ASSUMPTIONS'!$J$5:$J$39,MATCH("monthly_churn",'01_ASSUMPTIONS'!$B$5:$B$39,0)))+INDEX('01_ASSUMPTIONS'!$J$5:$J$39,MATCH("professional_monthly_acquisition",'01_ASSUMPTIONS'!$B$5:$B$39,0))</x:f>
        <x:v>0.9975134272191006</x:v>
      </x:c>
      <x:c r="D10" s="7" t="n">
        <x:f>D9*(1-INDEX('01_ASSUMPTIONS'!$J$5:$J$39,MATCH("monthly_churn",'01_ASSUMPTIONS'!$B$5:$B$39,0)))+INDEX('01_ASSUMPTIONS'!$J$5:$J$39,MATCH("enterprise_monthly_acquisition",'01_ASSUMPTIONS'!$B$5:$B$39,0))</x:f>
        <x:v>0.24937835680477516</x:v>
      </x:c>
      <x:c r="E10" s="7" t="n">
        <x:f>SUM(B10:D10)</x:f>
        <x:v>5.007068969328039</x:v>
      </x:c>
      <x:c r="F10" s="7" t="n">
        <x:f>B10*INDEX('01_ASSUMPTIONS'!$J$5:$J$39,MATCH("starter_studies_per_customer",'01_ASSUMPTIONS'!$B$5:$B$39,0))</x:f>
        <x:v>488.8230340895412</x:v>
      </x:c>
      <x:c r="G10" s="7" t="n">
        <x:f>C10*INDEX('01_ASSUMPTIONS'!$J$5:$J$39,MATCH("professional_studies_per_customer",'01_ASSUMPTIONS'!$B$5:$B$39,0))</x:f>
        <x:v>548.6323849705053</x:v>
      </x:c>
      <x:c r="H10" s="7" t="n">
        <x:f>D10*INDEX('01_ASSUMPTIONS'!$J$5:$J$39,MATCH("enterprise_studies_per_customer",'01_ASSUMPTIONS'!$B$5:$B$39,0))</x:f>
        <x:v>399.00537088764025</x:v>
      </x:c>
      <x:c r="I10" s="7" t="n">
        <x:f>SUM(F10:H10)</x:f>
        <x:v>1436.4607899476869</x:v>
      </x:c>
      <x:c r="J10" s="6" t="n">
        <x:f>B10*INDEX('01_ASSUMPTIONS'!$J$5:$J$39,MATCH("starter_fee",'01_ASSUMPTIONS'!$B$5:$B$39,0))+C10*INDEX('01_ASSUMPTIONS'!$J$5:$J$39,MATCH("professional_fee",'01_ASSUMPTIONS'!$B$5:$B$39,0))+D10*INDEX('01_ASSUMPTIONS'!$J$5:$J$39,MATCH("enterprise_fee",'01_ASSUMPTIONS'!$B$5:$B$39,0))</x:f>
        <x:v>4974.330400354547</x:v>
      </x:c>
      <x:c r="K10" s="6" t="n">
        <x:f>MAX(F10-B10*INDEX('01_ASSUMPTIONS'!$J$5:$J$39,MATCH("starter_included_studies",'01_ASSUMPTIONS'!$B$5:$B$39,0)),0)*INDEX('01_ASSUMPTIONS'!$J$5:$J$39,MATCH("starter_overage_fee",'01_ASSUMPTIONS'!$B$5:$B$39,0))+MAX(G10-C10*INDEX('01_ASSUMPTIONS'!$J$5:$J$39,MATCH("professional_included_studies",'01_ASSUMPTIONS'!$B$5:$B$39,0)),0)*INDEX('01_ASSUMPTIONS'!$J$5:$J$39,MATCH("professional_overage_fee",'01_ASSUMPTIONS'!$B$5:$B$39,0))+MAX(H10-D10*INDEX('01_ASSUMPTIONS'!$J$5:$J$39,MATCH("enterprise_included_studies",'01_ASSUMPTIONS'!$B$5:$B$39,0)),0)*INDEX('01_ASSUMPTIONS'!$J$5:$J$39,MATCH("enterprise_overage_fee",'01_ASSUMPTIONS'!$B$5:$B$39,0))</x:f>
        <x:v>699.8195457119733</x:v>
      </x:c>
      <x:c r="L10" s="6" t="n">
        <x:f>J10+K10</x:f>
        <x:v>5674.149946066521</x:v>
      </x:c>
      <x:c r="M10" s="6" t="n">
        <x:f>I10*INDEX('01_ASSUMPTIONS'!$J$5:$J$39,MATCH("cloud_cost_per_study",'01_ASSUMPTIONS'!$B$5:$B$39,0))</x:f>
        <x:v>2154.6911849215303</x:v>
      </x:c>
      <x:c r="N10" s="6" t="n">
        <x:f>I10*INDEX('01_ASSUMPTIONS'!$J$5:$J$39,MATCH("storage_cost_per_study",'01_ASSUMPTIONS'!$B$5:$B$39,0))</x:f>
        <x:v>316.02137378849113</x:v>
      </x:c>
      <x:c r="O10" s="6" t="n">
        <x:f>I10*INDEX('01_ASSUMPTIONS'!$J$5:$J$39,MATCH("ai_processing_cost_per_study",'01_ASSUMPTIONS'!$B$5:$B$39,0))</x:f>
        <x:v>1867.399026931993</x:v>
      </x:c>
      <x:c r="P10" s="6" t="n">
        <x:f>E10*INDEX('01_ASSUMPTIONS'!$J$5:$J$39,MATCH("variable_support_per_customer",'01_ASSUMPTIONS'!$B$5:$B$39,0))</x:f>
        <x:v>300.42413815968234</x:v>
      </x:c>
      <x:c r="Q10" s="6" t="n">
        <x:f>SUM(M10:P10)</x:f>
        <x:v>4638.535723801697</x:v>
      </x:c>
      <x:c r="R10" s="6" t="n">
        <x:f>INDEX('01_ASSUMPTIONS'!$J$5:$J$39,MATCH("fixed_infra",'01_ASSUMPTIONS'!$B$5:$B$39,0))</x:f>
        <x:v>500</x:v>
      </x:c>
      <x:c r="S10" s="6" t="n">
        <x:f>INDEX('01_ASSUMPTIONS'!$J$5:$J$39,MATCH("software_maintenance",'01_ASSUMPTIONS'!$B$5:$B$39,0))</x:f>
        <x:v>5000</x:v>
      </x:c>
      <x:c r="T10" s="6" t="n">
        <x:f>INDEX('01_ASSUMPTIONS'!$J$5:$J$39,MATCH("base_support",'01_ASSUMPTIONS'!$B$5:$B$39,0))</x:f>
        <x:v>1200</x:v>
      </x:c>
      <x:c r="U10" s="6" t="n">
        <x:f>INDEX('01_ASSUMPTIONS'!$J$5:$J$39,MATCH("admin",'01_ASSUMPTIONS'!$B$5:$B$39,0))</x:f>
        <x:v>600</x:v>
      </x:c>
      <x:c r="V10" s="6" t="n">
        <x:f>INDEX('01_ASSUMPTIONS'!$J$5:$J$39,MATCH("commercial_marketing",'01_ASSUMPTIONS'!$B$5:$B$39,0))</x:f>
        <x:v>1000</x:v>
      </x:c>
      <x:c r="W10" s="6" t="n">
        <x:f>INDEX('01_ASSUMPTIONS'!$J$5:$J$39,MATCH("other_fixed",'01_ASSUMPTIONS'!$B$5:$B$39,0))</x:f>
        <x:v>300</x:v>
      </x:c>
      <x:c r="X10" s="6" t="n">
        <x:f>SUM(R10:W10)</x:f>
        <x:v>8600</x:v>
      </x:c>
      <x:c r="Y10" s="6" t="n">
        <x:f>L10-Q10-X10</x:f>
        <x:v>-7564.385777735176</x:v>
      </x:c>
      <x:c r="Z10" s="6" t="n">
        <x:f>0</x:f>
        <x:v>0</x:v>
      </x:c>
      <x:c r="AA10" s="6" t="n">
        <x:f>Y10-Z10</x:f>
        <x:v>-7564.385777735176</x:v>
      </x:c>
      <x:c r="AB10" s="5" t="n">
        <x:f>1/(1+'01_ASSUMPTIONS'!$E$2)^A10</x:f>
        <x:v>0.8458970107524506</x:v>
      </x:c>
      <x:c r="AC10" s="6" t="n">
        <x:f>AA10*AB10</x:f>
        <x:v>-6398.691317564537</x:v>
      </x:c>
      <x:c r="AD10" s="6" t="n">
        <x:f>AD9+AA10</x:f>
        <x:v>-94185.59689097636</x:v>
      </x:c>
      <x:c r="AE10" t="str">
        <x:f>IF(Y10&gt;=0,"Yes","No")</x:f>
        <x:v>No</x:v>
      </x:c>
      <x:c r="AF10" t="str">
        <x:f>IF(AD10&gt;=0,"Yes","No")</x:f>
        <x:v>No</x:v>
      </x:c>
    </x:row>
    <x:row r="11">
      <x:c r="A11" t="n">
        <x:f>10</x:f>
        <x:v>10</x:v>
      </x:c>
      <x:c r="B11" s="7" t="n">
        <x:f>B10*(1-INDEX('01_ASSUMPTIONS'!$J$5:$J$39,MATCH("monthly_churn",'01_ASSUMPTIONS'!$B$5:$B$39,0)))+INDEX('01_ASSUMPTIONS'!$J$5:$J$39,MATCH("starter_monthly_acquisition",'01_ASSUMPTIONS'!$B$5:$B$39,0))</x:f>
        <x:v>4.0349736415980795</x:v>
      </x:c>
      <x:c r="C11" s="7" t="n">
        <x:f>C10*(1-INDEX('01_ASSUMPTIONS'!$J$5:$J$39,MATCH("monthly_churn",'01_ASSUMPTIONS'!$B$5:$B$39,0)))+INDEX('01_ASSUMPTIONS'!$J$5:$J$39,MATCH("professional_monthly_acquisition",'01_ASSUMPTIONS'!$B$5:$B$39,0))</x:f>
        <x:v>1.0975631586747188</x:v>
      </x:c>
      <x:c r="D11" s="7" t="n">
        <x:f>D10*(1-INDEX('01_ASSUMPTIONS'!$J$5:$J$39,MATCH("monthly_churn",'01_ASSUMPTIONS'!$B$5:$B$39,0)))+INDEX('01_ASSUMPTIONS'!$J$5:$J$39,MATCH("enterprise_monthly_acquisition",'01_ASSUMPTIONS'!$B$5:$B$39,0))</x:f>
        <x:v>0.2743907896686797</x:v>
      </x:c>
      <x:c r="E11" s="7" t="n">
        <x:f>SUM(B11:D11)</x:f>
        <x:v>5.406927589941478</x:v>
      </x:c>
      <x:c r="F11" s="7" t="n">
        <x:f>B11*INDEX('01_ASSUMPTIONS'!$J$5:$J$39,MATCH("starter_studies_per_customer",'01_ASSUMPTIONS'!$B$5:$B$39,0))</x:f>
        <x:v>524.5465734077503</x:v>
      </x:c>
      <x:c r="G11" s="7" t="n">
        <x:f>C11*INDEX('01_ASSUMPTIONS'!$J$5:$J$39,MATCH("professional_studies_per_customer",'01_ASSUMPTIONS'!$B$5:$B$39,0))</x:f>
        <x:v>603.6597372710953</x:v>
      </x:c>
      <x:c r="H11" s="7" t="n">
        <x:f>D11*INDEX('01_ASSUMPTIONS'!$J$5:$J$39,MATCH("enterprise_studies_per_customer",'01_ASSUMPTIONS'!$B$5:$B$39,0))</x:f>
        <x:v>439.0252634698875</x:v>
      </x:c>
      <x:c r="I11" s="7" t="n">
        <x:f>SUM(F11:H11)</x:f>
        <x:v>1567.231574148733</x:v>
      </x:c>
      <x:c r="J11" s="6" t="n">
        <x:f>B11*INDEX('01_ASSUMPTIONS'!$J$5:$J$39,MATCH("starter_fee",'01_ASSUMPTIONS'!$B$5:$B$39,0))+C11*INDEX('01_ASSUMPTIONS'!$J$5:$J$39,MATCH("professional_fee",'01_ASSUMPTIONS'!$B$5:$B$39,0))+D11*INDEX('01_ASSUMPTIONS'!$J$5:$J$39,MATCH("enterprise_fee",'01_ASSUMPTIONS'!$B$5:$B$39,0))</x:f>
        <x:v>5411.843792347456</x:v>
      </x:c>
      <x:c r="K11" s="6" t="n">
        <x:f>MAX(F11-B11*INDEX('01_ASSUMPTIONS'!$J$5:$J$39,MATCH("starter_included_studies",'01_ASSUMPTIONS'!$B$5:$B$39,0)),0)*INDEX('01_ASSUMPTIONS'!$J$5:$J$39,MATCH("starter_overage_fee",'01_ASSUMPTIONS'!$B$5:$B$39,0))+MAX(G11-C11*INDEX('01_ASSUMPTIONS'!$J$5:$J$39,MATCH("professional_included_studies",'01_ASSUMPTIONS'!$B$5:$B$39,0)),0)*INDEX('01_ASSUMPTIONS'!$J$5:$J$39,MATCH("professional_overage_fee",'01_ASSUMPTIONS'!$B$5:$B$39,0))+MAX(H11-D11*INDEX('01_ASSUMPTIONS'!$J$5:$J$39,MATCH("enterprise_included_studies",'01_ASSUMPTIONS'!$B$5:$B$39,0)),0)*INDEX('01_ASSUMPTIONS'!$J$5:$J$39,MATCH("enterprise_overage_fee",'01_ASSUMPTIONS'!$B$5:$B$39,0))</x:f>
        <x:v>761.8231547977334</x:v>
      </x:c>
      <x:c r="L11" s="6" t="n">
        <x:f>J11+K11</x:f>
        <x:v>6173.66694714519</x:v>
      </x:c>
      <x:c r="M11" s="6" t="n">
        <x:f>I11*INDEX('01_ASSUMPTIONS'!$J$5:$J$39,MATCH("cloud_cost_per_study",'01_ASSUMPTIONS'!$B$5:$B$39,0))</x:f>
        <x:v>2350.8473612230996</x:v>
      </x:c>
      <x:c r="N11" s="6" t="n">
        <x:f>I11*INDEX('01_ASSUMPTIONS'!$J$5:$J$39,MATCH("storage_cost_per_study",'01_ASSUMPTIONS'!$B$5:$B$39,0))</x:f>
        <x:v>344.79094631272125</x:v>
      </x:c>
      <x:c r="O11" s="6" t="n">
        <x:f>I11*INDEX('01_ASSUMPTIONS'!$J$5:$J$39,MATCH("ai_processing_cost_per_study",'01_ASSUMPTIONS'!$B$5:$B$39,0))</x:f>
        <x:v>2037.401046393353</x:v>
      </x:c>
      <x:c r="P11" s="6" t="n">
        <x:f>E11*INDEX('01_ASSUMPTIONS'!$J$5:$J$39,MATCH("variable_support_per_customer",'01_ASSUMPTIONS'!$B$5:$B$39,0))</x:f>
        <x:v>324.4156553964887</x:v>
      </x:c>
      <x:c r="Q11" s="6" t="n">
        <x:f>SUM(M11:P11)</x:f>
        <x:v>5057.455009325662</x:v>
      </x:c>
      <x:c r="R11" s="6" t="n">
        <x:f>INDEX('01_ASSUMPTIONS'!$J$5:$J$39,MATCH("fixed_infra",'01_ASSUMPTIONS'!$B$5:$B$39,0))</x:f>
        <x:v>500</x:v>
      </x:c>
      <x:c r="S11" s="6" t="n">
        <x:f>INDEX('01_ASSUMPTIONS'!$J$5:$J$39,MATCH("software_maintenance",'01_ASSUMPTIONS'!$B$5:$B$39,0))</x:f>
        <x:v>5000</x:v>
      </x:c>
      <x:c r="T11" s="6" t="n">
        <x:f>INDEX('01_ASSUMPTIONS'!$J$5:$J$39,MATCH("base_support",'01_ASSUMPTIONS'!$B$5:$B$39,0))</x:f>
        <x:v>1200</x:v>
      </x:c>
      <x:c r="U11" s="6" t="n">
        <x:f>INDEX('01_ASSUMPTIONS'!$J$5:$J$39,MATCH("admin",'01_ASSUMPTIONS'!$B$5:$B$39,0))</x:f>
        <x:v>600</x:v>
      </x:c>
      <x:c r="V11" s="6" t="n">
        <x:f>INDEX('01_ASSUMPTIONS'!$J$5:$J$39,MATCH("commercial_marketing",'01_ASSUMPTIONS'!$B$5:$B$39,0))</x:f>
        <x:v>1000</x:v>
      </x:c>
      <x:c r="W11" s="6" t="n">
        <x:f>INDEX('01_ASSUMPTIONS'!$J$5:$J$39,MATCH("other_fixed",'01_ASSUMPTIONS'!$B$5:$B$39,0))</x:f>
        <x:v>300</x:v>
      </x:c>
      <x:c r="X11" s="6" t="n">
        <x:f>SUM(R11:W11)</x:f>
        <x:v>8600</x:v>
      </x:c>
      <x:c r="Y11" s="6" t="n">
        <x:f>L11-Q11-X11</x:f>
        <x:v>-7483.7880621804725</x:v>
      </x:c>
      <x:c r="Z11" s="6" t="n">
        <x:f>0</x:f>
        <x:v>0</x:v>
      </x:c>
      <x:c r="AA11" s="6" t="n">
        <x:f>Y11-Z11</x:f>
        <x:v>-7483.7880621804725</x:v>
      </x:c>
      <x:c r="AB11" s="5" t="n">
        <x:f>1/(1+'01_ASSUMPTIONS'!$E$2)^A11</x:f>
        <x:v>0.8303126524449701</x:v>
      </x:c>
      <x:c r="AC11" s="6" t="n">
        <x:f>AA11*AB11</x:f>
        <x:v>-6213.883916245071</x:v>
      </x:c>
      <x:c r="AD11" s="6" t="n">
        <x:f>AD10+AA11</x:f>
        <x:v>-101669.38495315684</x:v>
      </x:c>
      <x:c r="AE11" t="str">
        <x:f>IF(Y11&gt;=0,"Yes","No")</x:f>
        <x:v>No</x:v>
      </x:c>
      <x:c r="AF11" t="str">
        <x:f>IF(AD11&gt;=0,"Yes","No")</x:f>
        <x:v>No</x:v>
      </x:c>
    </x:row>
    <x:row r="12">
      <x:c r="A12" t="n">
        <x:f>11</x:f>
        <x:v>11</x:v>
      </x:c>
      <x:c r="B12" s="7" t="n">
        <x:f>B11*(1-INDEX('01_ASSUMPTIONS'!$J$5:$J$39,MATCH("monthly_churn",'01_ASSUMPTIONS'!$B$5:$B$39,0)))+INDEX('01_ASSUMPTIONS'!$J$5:$J$39,MATCH("starter_monthly_acquisition",'01_ASSUMPTIONS'!$B$5:$B$39,0))</x:f>
        <x:v>4.304274168766118</x:v>
      </x:c>
      <x:c r="C12" s="7" t="n">
        <x:f>C11*(1-INDEX('01_ASSUMPTIONS'!$J$5:$J$39,MATCH("monthly_churn",'01_ASSUMPTIONS'!$B$5:$B$39,0)))+INDEX('01_ASSUMPTIONS'!$J$5:$J$39,MATCH("professional_monthly_acquisition",'01_ASSUMPTIONS'!$B$5:$B$39,0))</x:f>
        <x:v>1.1956118955012243</x:v>
      </x:c>
      <x:c r="D12" s="7" t="n">
        <x:f>D11*(1-INDEX('01_ASSUMPTIONS'!$J$5:$J$39,MATCH("monthly_churn",'01_ASSUMPTIONS'!$B$5:$B$39,0)))+INDEX('01_ASSUMPTIONS'!$J$5:$J$39,MATCH("enterprise_monthly_acquisition",'01_ASSUMPTIONS'!$B$5:$B$39,0))</x:f>
        <x:v>0.29890297387530607</x:v>
      </x:c>
      <x:c r="E12" s="7" t="n">
        <x:f>SUM(B12:D12)</x:f>
        <x:v>5.7987890381426475</x:v>
      </x:c>
      <x:c r="F12" s="7" t="n">
        <x:f>B12*INDEX('01_ASSUMPTIONS'!$J$5:$J$39,MATCH("starter_studies_per_customer",'01_ASSUMPTIONS'!$B$5:$B$39,0))</x:f>
        <x:v>559.5556419395954</x:v>
      </x:c>
      <x:c r="G12" s="7" t="n">
        <x:f>C12*INDEX('01_ASSUMPTIONS'!$J$5:$J$39,MATCH("professional_studies_per_customer",'01_ASSUMPTIONS'!$B$5:$B$39,0))</x:f>
        <x:v>657.5865425256734</x:v>
      </x:c>
      <x:c r="H12" s="7" t="n">
        <x:f>D12*INDEX('01_ASSUMPTIONS'!$J$5:$J$39,MATCH("enterprise_studies_per_customer",'01_ASSUMPTIONS'!$B$5:$B$39,0))</x:f>
        <x:v>478.2447582004897</x:v>
      </x:c>
      <x:c r="I12" s="7" t="n">
        <x:f>SUM(F12:H12)</x:f>
        <x:v>1695.3869426657584</x:v>
      </x:c>
      <x:c r="J12" s="6" t="n">
        <x:f>B12*INDEX('01_ASSUMPTIONS'!$J$5:$J$39,MATCH("starter_fee",'01_ASSUMPTIONS'!$B$5:$B$39,0))+C12*INDEX('01_ASSUMPTIONS'!$J$5:$J$39,MATCH("professional_fee",'01_ASSUMPTIONS'!$B$5:$B$39,0))+D12*INDEX('01_ASSUMPTIONS'!$J$5:$J$39,MATCH("enterprise_fee",'01_ASSUMPTIONS'!$B$5:$B$39,0))</x:f>
        <x:v>5840.6069165005065</x:v>
      </x:c>
      <x:c r="K12" s="6" t="n">
        <x:f>MAX(F12-B12*INDEX('01_ASSUMPTIONS'!$J$5:$J$39,MATCH("starter_included_studies",'01_ASSUMPTIONS'!$B$5:$B$39,0)),0)*INDEX('01_ASSUMPTIONS'!$J$5:$J$39,MATCH("starter_overage_fee",'01_ASSUMPTIONS'!$B$5:$B$39,0))+MAX(G12-C12*INDEX('01_ASSUMPTIONS'!$J$5:$J$39,MATCH("professional_included_studies",'01_ASSUMPTIONS'!$B$5:$B$39,0)),0)*INDEX('01_ASSUMPTIONS'!$J$5:$J$39,MATCH("professional_overage_fee",'01_ASSUMPTIONS'!$B$5:$B$39,0))+MAX(H12-D12*INDEX('01_ASSUMPTIONS'!$J$5:$J$39,MATCH("enterprise_included_studies",'01_ASSUMPTIONS'!$B$5:$B$39,0)),0)*INDEX('01_ASSUMPTIONS'!$J$5:$J$39,MATCH("enterprise_overage_fee",'01_ASSUMPTIONS'!$B$5:$B$39,0))</x:f>
        <x:v>822.5866917017793</x:v>
      </x:c>
      <x:c r="L12" s="6" t="n">
        <x:f>J12+K12</x:f>
        <x:v>6663.193608202286</x:v>
      </x:c>
      <x:c r="M12" s="6" t="n">
        <x:f>I12*INDEX('01_ASSUMPTIONS'!$J$5:$J$39,MATCH("cloud_cost_per_study",'01_ASSUMPTIONS'!$B$5:$B$39,0))</x:f>
        <x:v>2543.0804139986376</x:v>
      </x:c>
      <x:c r="N12" s="6" t="n">
        <x:f>I12*INDEX('01_ASSUMPTIONS'!$J$5:$J$39,MATCH("storage_cost_per_study",'01_ASSUMPTIONS'!$B$5:$B$39,0))</x:f>
        <x:v>372.98512738646684</x:v>
      </x:c>
      <x:c r="O12" s="6" t="n">
        <x:f>I12*INDEX('01_ASSUMPTIONS'!$J$5:$J$39,MATCH("ai_processing_cost_per_study",'01_ASSUMPTIONS'!$B$5:$B$39,0))</x:f>
        <x:v>2204.003025465486</x:v>
      </x:c>
      <x:c r="P12" s="6" t="n">
        <x:f>E12*INDEX('01_ASSUMPTIONS'!$J$5:$J$39,MATCH("variable_support_per_customer",'01_ASSUMPTIONS'!$B$5:$B$39,0))</x:f>
        <x:v>347.92734228855886</x:v>
      </x:c>
      <x:c r="Q12" s="6" t="n">
        <x:f>SUM(M12:P12)</x:f>
        <x:v>5467.995909139149</x:v>
      </x:c>
      <x:c r="R12" s="6" t="n">
        <x:f>INDEX('01_ASSUMPTIONS'!$J$5:$J$39,MATCH("fixed_infra",'01_ASSUMPTIONS'!$B$5:$B$39,0))</x:f>
        <x:v>500</x:v>
      </x:c>
      <x:c r="S12" s="6" t="n">
        <x:f>INDEX('01_ASSUMPTIONS'!$J$5:$J$39,MATCH("software_maintenance",'01_ASSUMPTIONS'!$B$5:$B$39,0))</x:f>
        <x:v>5000</x:v>
      </x:c>
      <x:c r="T12" s="6" t="n">
        <x:f>INDEX('01_ASSUMPTIONS'!$J$5:$J$39,MATCH("base_support",'01_ASSUMPTIONS'!$B$5:$B$39,0))</x:f>
        <x:v>1200</x:v>
      </x:c>
      <x:c r="U12" s="6" t="n">
        <x:f>INDEX('01_ASSUMPTIONS'!$J$5:$J$39,MATCH("admin",'01_ASSUMPTIONS'!$B$5:$B$39,0))</x:f>
        <x:v>600</x:v>
      </x:c>
      <x:c r="V12" s="6" t="n">
        <x:f>INDEX('01_ASSUMPTIONS'!$J$5:$J$39,MATCH("commercial_marketing",'01_ASSUMPTIONS'!$B$5:$B$39,0))</x:f>
        <x:v>1000</x:v>
      </x:c>
      <x:c r="W12" s="6" t="n">
        <x:f>INDEX('01_ASSUMPTIONS'!$J$5:$J$39,MATCH("other_fixed",'01_ASSUMPTIONS'!$B$5:$B$39,0))</x:f>
        <x:v>300</x:v>
      </x:c>
      <x:c r="X12" s="6" t="n">
        <x:f>SUM(R12:W12)</x:f>
        <x:v>8600</x:v>
      </x:c>
      <x:c r="Y12" s="6" t="n">
        <x:f>L12-Q12-X12</x:f>
        <x:v>-7404.8023009368635</x:v>
      </x:c>
      <x:c r="Z12" s="6" t="n">
        <x:f>0</x:f>
        <x:v>0</x:v>
      </x:c>
      <x:c r="AA12" s="6" t="n">
        <x:f>Y12-Z12</x:f>
        <x:v>-7404.8023009368635</x:v>
      </x:c>
      <x:c r="AB12" s="5" t="n">
        <x:f>1/(1+'01_ASSUMPTIONS'!$E$2)^A12</x:f>
        <x:v>0.8150154120972041</x:v>
      </x:c>
      <x:c r="AC12" s="6" t="n">
        <x:f>AA12*AB12</x:f>
        <x:v>-6035.027998796383</x:v>
      </x:c>
      <x:c r="AD12" s="6" t="n">
        <x:f>AD11+AA12</x:f>
        <x:v>-109074.1872540937</x:v>
      </x:c>
      <x:c r="AE12" t="str">
        <x:f>IF(Y12&gt;=0,"Yes","No")</x:f>
        <x:v>No</x:v>
      </x:c>
      <x:c r="AF12" t="str">
        <x:f>IF(AD12&gt;=0,"Yes","No")</x:f>
        <x:v>No</x:v>
      </x:c>
    </x:row>
    <x:row r="13">
      <x:c r="A13" t="n">
        <x:f>12</x:f>
        <x:v>12</x:v>
      </x:c>
      <x:c r="B13" s="7" t="n">
        <x:f>B12*(1-INDEX('01_ASSUMPTIONS'!$J$5:$J$39,MATCH("monthly_churn",'01_ASSUMPTIONS'!$B$5:$B$39,0)))+INDEX('01_ASSUMPTIONS'!$J$5:$J$39,MATCH("starter_monthly_acquisition",'01_ASSUMPTIONS'!$B$5:$B$39,0))</x:f>
        <x:v>4.568188685390795</x:v>
      </x:c>
      <x:c r="C13" s="7" t="n">
        <x:f>C12*(1-INDEX('01_ASSUMPTIONS'!$J$5:$J$39,MATCH("monthly_churn",'01_ASSUMPTIONS'!$B$5:$B$39,0)))+INDEX('01_ASSUMPTIONS'!$J$5:$J$39,MATCH("professional_monthly_acquisition",'01_ASSUMPTIONS'!$B$5:$B$39,0))</x:f>
        <x:v>1.2916996575911996</x:v>
      </x:c>
      <x:c r="D13" s="7" t="n">
        <x:f>D12*(1-INDEX('01_ASSUMPTIONS'!$J$5:$J$39,MATCH("monthly_churn",'01_ASSUMPTIONS'!$B$5:$B$39,0)))+INDEX('01_ASSUMPTIONS'!$J$5:$J$39,MATCH("enterprise_monthly_acquisition",'01_ASSUMPTIONS'!$B$5:$B$39,0))</x:f>
        <x:v>0.3229249143977999</x:v>
      </x:c>
      <x:c r="E13" s="7" t="n">
        <x:f>SUM(B13:D13)</x:f>
        <x:v>6.182813257379794</x:v>
      </x:c>
      <x:c r="F13" s="7" t="n">
        <x:f>B13*INDEX('01_ASSUMPTIONS'!$J$5:$J$39,MATCH("starter_studies_per_customer",'01_ASSUMPTIONS'!$B$5:$B$39,0))</x:f>
        <x:v>593.8645291008033</x:v>
      </x:c>
      <x:c r="G13" s="7" t="n">
        <x:f>C13*INDEX('01_ASSUMPTIONS'!$J$5:$J$39,MATCH("professional_studies_per_customer",'01_ASSUMPTIONS'!$B$5:$B$39,0))</x:f>
        <x:v>710.4348116751598</x:v>
      </x:c>
      <x:c r="H13" s="7" t="n">
        <x:f>D13*INDEX('01_ASSUMPTIONS'!$J$5:$J$39,MATCH("enterprise_studies_per_customer",'01_ASSUMPTIONS'!$B$5:$B$39,0))</x:f>
        <x:v>516.6798630364799</x:v>
      </x:c>
      <x:c r="I13" s="7" t="n">
        <x:f>SUM(F13:H13)</x:f>
        <x:v>1820.979203812443</x:v>
      </x:c>
      <x:c r="J13" s="6" t="n">
        <x:f>B13*INDEX('01_ASSUMPTIONS'!$J$5:$J$39,MATCH("starter_fee",'01_ASSUMPTIONS'!$B$5:$B$39,0))+C13*INDEX('01_ASSUMPTIONS'!$J$5:$J$39,MATCH("professional_fee",'01_ASSUMPTIONS'!$B$5:$B$39,0))+D13*INDEX('01_ASSUMPTIONS'!$J$5:$J$39,MATCH("enterprise_fee",'01_ASSUMPTIONS'!$B$5:$B$39,0))</x:f>
        <x:v>6260.794778170496</x:v>
      </x:c>
      <x:c r="K13" s="6" t="n">
        <x:f>MAX(F13-B13*INDEX('01_ASSUMPTIONS'!$J$5:$J$39,MATCH("starter_included_studies",'01_ASSUMPTIONS'!$B$5:$B$39,0)),0)*INDEX('01_ASSUMPTIONS'!$J$5:$J$39,MATCH("starter_overage_fee",'01_ASSUMPTIONS'!$B$5:$B$39,0))+MAX(G13-C13*INDEX('01_ASSUMPTIONS'!$J$5:$J$39,MATCH("professional_included_studies",'01_ASSUMPTIONS'!$B$5:$B$39,0)),0)*INDEX('01_ASSUMPTIONS'!$J$5:$J$39,MATCH("professional_overage_fee",'01_ASSUMPTIONS'!$B$5:$B$39,0))+MAX(H13-D13*INDEX('01_ASSUMPTIONS'!$J$5:$J$39,MATCH("enterprise_included_studies",'01_ASSUMPTIONS'!$B$5:$B$39,0)),0)*INDEX('01_ASSUMPTIONS'!$J$5:$J$39,MATCH("enterprise_overage_fee",'01_ASSUMPTIONS'!$B$5:$B$39,0))</x:f>
        <x:v>882.1349578677437</x:v>
      </x:c>
      <x:c r="L13" s="6" t="n">
        <x:f>J13+K13</x:f>
        <x:v>7142.92973603824</x:v>
      </x:c>
      <x:c r="M13" s="6" t="n">
        <x:f>I13*INDEX('01_ASSUMPTIONS'!$J$5:$J$39,MATCH("cloud_cost_per_study",'01_ASSUMPTIONS'!$B$5:$B$39,0))</x:f>
        <x:v>2731.4688057186645</x:v>
      </x:c>
      <x:c r="N13" s="6" t="n">
        <x:f>I13*INDEX('01_ASSUMPTIONS'!$J$5:$J$39,MATCH("storage_cost_per_study",'01_ASSUMPTIONS'!$B$5:$B$39,0))</x:f>
        <x:v>400.61542483873745</x:v>
      </x:c>
      <x:c r="O13" s="6" t="n">
        <x:f>I13*INDEX('01_ASSUMPTIONS'!$J$5:$J$39,MATCH("ai_processing_cost_per_study",'01_ASSUMPTIONS'!$B$5:$B$39,0))</x:f>
        <x:v>2367.272964956176</x:v>
      </x:c>
      <x:c r="P13" s="6" t="n">
        <x:f>E13*INDEX('01_ASSUMPTIONS'!$J$5:$J$39,MATCH("variable_support_per_customer",'01_ASSUMPTIONS'!$B$5:$B$39,0))</x:f>
        <x:v>370.96879544278767</x:v>
      </x:c>
      <x:c r="Q13" s="6" t="n">
        <x:f>SUM(M13:P13)</x:f>
        <x:v>5870.325990956365</x:v>
      </x:c>
      <x:c r="R13" s="6" t="n">
        <x:f>INDEX('01_ASSUMPTIONS'!$J$5:$J$39,MATCH("fixed_infra",'01_ASSUMPTIONS'!$B$5:$B$39,0))</x:f>
        <x:v>500</x:v>
      </x:c>
      <x:c r="S13" s="6" t="n">
        <x:f>INDEX('01_ASSUMPTIONS'!$J$5:$J$39,MATCH("software_maintenance",'01_ASSUMPTIONS'!$B$5:$B$39,0))</x:f>
        <x:v>5000</x:v>
      </x:c>
      <x:c r="T13" s="6" t="n">
        <x:f>INDEX('01_ASSUMPTIONS'!$J$5:$J$39,MATCH("base_support",'01_ASSUMPTIONS'!$B$5:$B$39,0))</x:f>
        <x:v>1200</x:v>
      </x:c>
      <x:c r="U13" s="6" t="n">
        <x:f>INDEX('01_ASSUMPTIONS'!$J$5:$J$39,MATCH("admin",'01_ASSUMPTIONS'!$B$5:$B$39,0))</x:f>
        <x:v>600</x:v>
      </x:c>
      <x:c r="V13" s="6" t="n">
        <x:f>INDEX('01_ASSUMPTIONS'!$J$5:$J$39,MATCH("commercial_marketing",'01_ASSUMPTIONS'!$B$5:$B$39,0))</x:f>
        <x:v>1000</x:v>
      </x:c>
      <x:c r="W13" s="6" t="n">
        <x:f>INDEX('01_ASSUMPTIONS'!$J$5:$J$39,MATCH("other_fixed",'01_ASSUMPTIONS'!$B$5:$B$39,0))</x:f>
        <x:v>300</x:v>
      </x:c>
      <x:c r="X13" s="6" t="n">
        <x:f>SUM(R13:W13)</x:f>
        <x:v>8600</x:v>
      </x:c>
      <x:c r="Y13" s="6" t="n">
        <x:f>L13-Q13-X13</x:f>
        <x:v>-7327.396254918125</x:v>
      </x:c>
      <x:c r="Z13" s="6" t="n">
        <x:f>0</x:f>
        <x:v>0</x:v>
      </x:c>
      <x:c r="AA13" s="6" t="n">
        <x:f>Y13-Z13</x:f>
        <x:v>-7327.396254918125</x:v>
      </x:c>
      <x:c r="AB13" s="5" t="n">
        <x:f>1/(1+'01_ASSUMPTIONS'!$E$2)^A13</x:f>
        <x:v>0.7999999999999992</x:v>
      </x:c>
      <x:c r="AC13" s="6" t="n">
        <x:f>AA13*AB13</x:f>
        <x:v>-5861.917003934494</x:v>
      </x:c>
      <x:c r="AD13" s="6" t="n">
        <x:f>AD12+AA13</x:f>
        <x:v>-116401.58350901183</x:v>
      </x:c>
      <x:c r="AE13" t="str">
        <x:f>IF(Y13&gt;=0,"Yes","No")</x:f>
        <x:v>No</x:v>
      </x:c>
      <x:c r="AF13" t="str">
        <x:f>IF(AD13&gt;=0,"Yes","No")</x:f>
        <x:v>No</x:v>
      </x:c>
    </x:row>
    <x:row r="14">
      <x:c r="A14" t="n">
        <x:f>13</x:f>
        <x:v>13</x:v>
      </x:c>
      <x:c r="B14" s="7" t="n">
        <x:f>B13*(1-INDEX('01_ASSUMPTIONS'!$J$5:$J$39,MATCH("monthly_churn",'01_ASSUMPTIONS'!$B$5:$B$39,0)))+INDEX('01_ASSUMPTIONS'!$J$5:$J$39,MATCH("starter_monthly_acquisition",'01_ASSUMPTIONS'!$B$5:$B$39,0))</x:f>
        <x:v>4.826824911682978</x:v>
      </x:c>
      <x:c r="C14" s="7" t="n">
        <x:f>C13*(1-INDEX('01_ASSUMPTIONS'!$J$5:$J$39,MATCH("monthly_churn",'01_ASSUMPTIONS'!$B$5:$B$39,0)))+INDEX('01_ASSUMPTIONS'!$J$5:$J$39,MATCH("professional_monthly_acquisition",'01_ASSUMPTIONS'!$B$5:$B$39,0))</x:f>
        <x:v>1.3858656644393754</x:v>
      </x:c>
      <x:c r="D14" s="7" t="n">
        <x:f>D13*(1-INDEX('01_ASSUMPTIONS'!$J$5:$J$39,MATCH("monthly_churn",'01_ASSUMPTIONS'!$B$5:$B$39,0)))+INDEX('01_ASSUMPTIONS'!$J$5:$J$39,MATCH("enterprise_monthly_acquisition",'01_ASSUMPTIONS'!$B$5:$B$39,0))</x:f>
        <x:v>0.34646641610984386</x:v>
      </x:c>
      <x:c r="E14" s="7" t="n">
        <x:f>SUM(B14:D14)</x:f>
        <x:v>6.5591569922321975</x:v>
      </x:c>
      <x:c r="F14" s="7" t="n">
        <x:f>B14*INDEX('01_ASSUMPTIONS'!$J$5:$J$39,MATCH("starter_studies_per_customer",'01_ASSUMPTIONS'!$B$5:$B$39,0))</x:f>
        <x:v>627.4872385187872</x:v>
      </x:c>
      <x:c r="G14" s="7" t="n">
        <x:f>C14*INDEX('01_ASSUMPTIONS'!$J$5:$J$39,MATCH("professional_studies_per_customer",'01_ASSUMPTIONS'!$B$5:$B$39,0))</x:f>
        <x:v>762.2261154416565</x:v>
      </x:c>
      <x:c r="H14" s="7" t="n">
        <x:f>D14*INDEX('01_ASSUMPTIONS'!$J$5:$J$39,MATCH("enterprise_studies_per_customer",'01_ASSUMPTIONS'!$B$5:$B$39,0))</x:f>
        <x:v>554.3462657757502</x:v>
      </x:c>
      <x:c r="I14" s="7" t="n">
        <x:f>SUM(F14:H14)</x:f>
        <x:v>1944.059619736194</x:v>
      </x:c>
      <x:c r="J14" s="6" t="n">
        <x:f>B14*INDEX('01_ASSUMPTIONS'!$J$5:$J$39,MATCH("starter_fee",'01_ASSUMPTIONS'!$B$5:$B$39,0))+C14*INDEX('01_ASSUMPTIONS'!$J$5:$J$39,MATCH("professional_fee",'01_ASSUMPTIONS'!$B$5:$B$39,0))+D14*INDEX('01_ASSUMPTIONS'!$J$5:$J$39,MATCH("enterprise_fee",'01_ASSUMPTIONS'!$B$5:$B$39,0))</x:f>
        <x:v>6672.578882607085</x:v>
      </x:c>
      <x:c r="K14" s="6" t="n">
        <x:f>MAX(F14-B14*INDEX('01_ASSUMPTIONS'!$J$5:$J$39,MATCH("starter_included_studies",'01_ASSUMPTIONS'!$B$5:$B$39,0)),0)*INDEX('01_ASSUMPTIONS'!$J$5:$J$39,MATCH("starter_overage_fee",'01_ASSUMPTIONS'!$B$5:$B$39,0))+MAX(G14-C14*INDEX('01_ASSUMPTIONS'!$J$5:$J$39,MATCH("professional_included_studies",'01_ASSUMPTIONS'!$B$5:$B$39,0)),0)*INDEX('01_ASSUMPTIONS'!$J$5:$J$39,MATCH("professional_overage_fee",'01_ASSUMPTIONS'!$B$5:$B$39,0))+MAX(H14-D14*INDEX('01_ASSUMPTIONS'!$J$5:$J$39,MATCH("enterprise_included_studies",'01_ASSUMPTIONS'!$B$5:$B$39,0)),0)*INDEX('01_ASSUMPTIONS'!$J$5:$J$39,MATCH("enterprise_overage_fee",'01_ASSUMPTIONS'!$B$5:$B$39,0))</x:f>
        <x:v>940.4922587103888</x:v>
      </x:c>
      <x:c r="L14" s="6" t="n">
        <x:f>J14+K14</x:f>
        <x:v>7613.071141317474</x:v>
      </x:c>
      <x:c r="M14" s="6" t="n">
        <x:f>I14*INDEX('01_ASSUMPTIONS'!$J$5:$J$39,MATCH("cloud_cost_per_study",'01_ASSUMPTIONS'!$B$5:$B$39,0))</x:f>
        <x:v>2916.089429604291</x:v>
      </x:c>
      <x:c r="N14" s="6" t="n">
        <x:f>I14*INDEX('01_ASSUMPTIONS'!$J$5:$J$39,MATCH("storage_cost_per_study",'01_ASSUMPTIONS'!$B$5:$B$39,0))</x:f>
        <x:v>427.6931163419627</x:v>
      </x:c>
      <x:c r="O14" s="6" t="n">
        <x:f>I14*INDEX('01_ASSUMPTIONS'!$J$5:$J$39,MATCH("ai_processing_cost_per_study",'01_ASSUMPTIONS'!$B$5:$B$39,0))</x:f>
        <x:v>2527.277505657052</x:v>
      </x:c>
      <x:c r="P14" s="6" t="n">
        <x:f>E14*INDEX('01_ASSUMPTIONS'!$J$5:$J$39,MATCH("variable_support_per_customer",'01_ASSUMPTIONS'!$B$5:$B$39,0))</x:f>
        <x:v>393.5494195339318</x:v>
      </x:c>
      <x:c r="Q14" s="6" t="n">
        <x:f>SUM(M14:P14)</x:f>
        <x:v>6264.609471137238</x:v>
      </x:c>
      <x:c r="R14" s="6" t="n">
        <x:f>INDEX('01_ASSUMPTIONS'!$J$5:$J$39,MATCH("fixed_infra",'01_ASSUMPTIONS'!$B$5:$B$39,0))</x:f>
        <x:v>500</x:v>
      </x:c>
      <x:c r="S14" s="6" t="n">
        <x:f>INDEX('01_ASSUMPTIONS'!$J$5:$J$39,MATCH("software_maintenance",'01_ASSUMPTIONS'!$B$5:$B$39,0))</x:f>
        <x:v>5000</x:v>
      </x:c>
      <x:c r="T14" s="6" t="n">
        <x:f>INDEX('01_ASSUMPTIONS'!$J$5:$J$39,MATCH("base_support",'01_ASSUMPTIONS'!$B$5:$B$39,0))</x:f>
        <x:v>1200</x:v>
      </x:c>
      <x:c r="U14" s="6" t="n">
        <x:f>INDEX('01_ASSUMPTIONS'!$J$5:$J$39,MATCH("admin",'01_ASSUMPTIONS'!$B$5:$B$39,0))</x:f>
        <x:v>600</x:v>
      </x:c>
      <x:c r="V14" s="6" t="n">
        <x:f>INDEX('01_ASSUMPTIONS'!$J$5:$J$39,MATCH("commercial_marketing",'01_ASSUMPTIONS'!$B$5:$B$39,0))</x:f>
        <x:v>1000</x:v>
      </x:c>
      <x:c r="W14" s="6" t="n">
        <x:f>INDEX('01_ASSUMPTIONS'!$J$5:$J$39,MATCH("other_fixed",'01_ASSUMPTIONS'!$B$5:$B$39,0))</x:f>
        <x:v>300</x:v>
      </x:c>
      <x:c r="X14" s="6" t="n">
        <x:f>SUM(R14:W14)</x:f>
        <x:v>8600</x:v>
      </x:c>
      <x:c r="Y14" s="6" t="n">
        <x:f>L14-Q14-X14</x:f>
        <x:v>-7251.538329819764</x:v>
      </x:c>
      <x:c r="Z14" s="6" t="n">
        <x:f>0</x:f>
        <x:v>0</x:v>
      </x:c>
      <x:c r="AA14" s="6" t="n">
        <x:f>Y14-Z14</x:f>
        <x:v>-7251.538329819764</x:v>
      </x:c>
      <x:c r="AB14" s="5" t="n">
        <x:f>1/(1+'01_ASSUMPTIONS'!$E$2)^A14</x:f>
        <x:v>0.7852612238990004</x:v>
      </x:c>
      <x:c r="AC14" s="6" t="n">
        <x:f>AA14*AB14</x:f>
        <x:v>-5694.351864024781</x:v>
      </x:c>
      <x:c r="AD14" s="6" t="n">
        <x:f>AD13+AA14</x:f>
        <x:v>-123653.1218388316</x:v>
      </x:c>
      <x:c r="AE14" t="str">
        <x:f>IF(Y14&gt;=0,"Yes","No")</x:f>
        <x:v>No</x:v>
      </x:c>
      <x:c r="AF14" t="str">
        <x:f>IF(AD14&gt;=0,"Yes","No")</x:f>
        <x:v>No</x:v>
      </x:c>
    </x:row>
    <x:row r="15">
      <x:c r="A15" t="n">
        <x:f>14</x:f>
        <x:v>14</x:v>
      </x:c>
      <x:c r="B15" s="7" t="n">
        <x:f>B14*(1-INDEX('01_ASSUMPTIONS'!$J$5:$J$39,MATCH("monthly_churn",'01_ASSUMPTIONS'!$B$5:$B$39,0)))+INDEX('01_ASSUMPTIONS'!$J$5:$J$39,MATCH("starter_monthly_acquisition",'01_ASSUMPTIONS'!$B$5:$B$39,0))</x:f>
        <x:v>5.080288413449318</x:v>
      </x:c>
      <x:c r="C15" s="7" t="n">
        <x:f>C14*(1-INDEX('01_ASSUMPTIONS'!$J$5:$J$39,MATCH("monthly_churn",'01_ASSUMPTIONS'!$B$5:$B$39,0)))+INDEX('01_ASSUMPTIONS'!$J$5:$J$39,MATCH("professional_monthly_acquisition",'01_ASSUMPTIONS'!$B$5:$B$39,0))</x:f>
        <x:v>1.4781483511505877</x:v>
      </x:c>
      <x:c r="D15" s="7" t="n">
        <x:f>D14*(1-INDEX('01_ASSUMPTIONS'!$J$5:$J$39,MATCH("monthly_churn",'01_ASSUMPTIONS'!$B$5:$B$39,0)))+INDEX('01_ASSUMPTIONS'!$J$5:$J$39,MATCH("enterprise_monthly_acquisition",'01_ASSUMPTIONS'!$B$5:$B$39,0))</x:f>
        <x:v>0.36953708778764693</x:v>
      </x:c>
      <x:c r="E15" s="7" t="n">
        <x:f>SUM(B15:D15)</x:f>
        <x:v>6.927973852387552</x:v>
      </x:c>
      <x:c r="F15" s="7" t="n">
        <x:f>B15*INDEX('01_ASSUMPTIONS'!$J$5:$J$39,MATCH("starter_studies_per_customer",'01_ASSUMPTIONS'!$B$5:$B$39,0))</x:f>
        <x:v>660.4374937484113</x:v>
      </x:c>
      <x:c r="G15" s="7" t="n">
        <x:f>C15*INDEX('01_ASSUMPTIONS'!$J$5:$J$39,MATCH("professional_studies_per_customer",'01_ASSUMPTIONS'!$B$5:$B$39,0))</x:f>
        <x:v>812.9815931328233</x:v>
      </x:c>
      <x:c r="H15" s="7" t="n">
        <x:f>D15*INDEX('01_ASSUMPTIONS'!$J$5:$J$39,MATCH("enterprise_studies_per_customer",'01_ASSUMPTIONS'!$B$5:$B$39,0))</x:f>
        <x:v>591.2593404602351</x:v>
      </x:c>
      <x:c r="I15" s="7" t="n">
        <x:f>SUM(F15:H15)</x:f>
        <x:v>2064.6784273414696</x:v>
      </x:c>
      <x:c r="J15" s="6" t="n">
        <x:f>B15*INDEX('01_ASSUMPTIONS'!$J$5:$J$39,MATCH("starter_fee",'01_ASSUMPTIONS'!$B$5:$B$39,0))+C15*INDEX('01_ASSUMPTIONS'!$J$5:$J$39,MATCH("professional_fee",'01_ASSUMPTIONS'!$B$5:$B$39,0))+D15*INDEX('01_ASSUMPTIONS'!$J$5:$J$39,MATCH("enterprise_fee",'01_ASSUMPTIONS'!$B$5:$B$39,0))</x:f>
        <x:v>7076.127304954942</x:v>
      </x:c>
      <x:c r="K15" s="6" t="n">
        <x:f>MAX(F15-B15*INDEX('01_ASSUMPTIONS'!$J$5:$J$39,MATCH("starter_included_studies",'01_ASSUMPTIONS'!$B$5:$B$39,0)),0)*INDEX('01_ASSUMPTIONS'!$J$5:$J$39,MATCH("starter_overage_fee",'01_ASSUMPTIONS'!$B$5:$B$39,0))+MAX(G15-C15*INDEX('01_ASSUMPTIONS'!$J$5:$J$39,MATCH("professional_included_studies",'01_ASSUMPTIONS'!$B$5:$B$39,0)),0)*INDEX('01_ASSUMPTIONS'!$J$5:$J$39,MATCH("professional_overage_fee",'01_ASSUMPTIONS'!$B$5:$B$39,0))+MAX(H15-D15*INDEX('01_ASSUMPTIONS'!$J$5:$J$39,MATCH("enterprise_included_studies",'01_ASSUMPTIONS'!$B$5:$B$39,0)),0)*INDEX('01_ASSUMPTIONS'!$J$5:$J$39,MATCH("enterprise_overage_fee",'01_ASSUMPTIONS'!$B$5:$B$39,0))</x:f>
        <x:v>997.6824135361805</x:v>
      </x:c>
      <x:c r="L15" s="6" t="n">
        <x:f>J15+K15</x:f>
        <x:v>8073.809718491122</x:v>
      </x:c>
      <x:c r="M15" s="6" t="n">
        <x:f>I15*INDEX('01_ASSUMPTIONS'!$J$5:$J$39,MATCH("cloud_cost_per_study",'01_ASSUMPTIONS'!$B$5:$B$39,0))</x:f>
        <x:v>3097.0176410122044</x:v>
      </x:c>
      <x:c r="N15" s="6" t="n">
        <x:f>I15*INDEX('01_ASSUMPTIONS'!$J$5:$J$39,MATCH("storage_cost_per_study",'01_ASSUMPTIONS'!$B$5:$B$39,0))</x:f>
        <x:v>454.22925401512333</x:v>
      </x:c>
      <x:c r="O15" s="6" t="n">
        <x:f>I15*INDEX('01_ASSUMPTIONS'!$J$5:$J$39,MATCH("ai_processing_cost_per_study",'01_ASSUMPTIONS'!$B$5:$B$39,0))</x:f>
        <x:v>2684.0819555439107</x:v>
      </x:c>
      <x:c r="P15" s="6" t="n">
        <x:f>E15*INDEX('01_ASSUMPTIONS'!$J$5:$J$39,MATCH("variable_support_per_customer",'01_ASSUMPTIONS'!$B$5:$B$39,0))</x:f>
        <x:v>415.67843114325314</x:v>
      </x:c>
      <x:c r="Q15" s="6" t="n">
        <x:f>SUM(M15:P15)</x:f>
        <x:v>6651.007281714492</x:v>
      </x:c>
      <x:c r="R15" s="6" t="n">
        <x:f>INDEX('01_ASSUMPTIONS'!$J$5:$J$39,MATCH("fixed_infra",'01_ASSUMPTIONS'!$B$5:$B$39,0))</x:f>
        <x:v>500</x:v>
      </x:c>
      <x:c r="S15" s="6" t="n">
        <x:f>INDEX('01_ASSUMPTIONS'!$J$5:$J$39,MATCH("software_maintenance",'01_ASSUMPTIONS'!$B$5:$B$39,0))</x:f>
        <x:v>5000</x:v>
      </x:c>
      <x:c r="T15" s="6" t="n">
        <x:f>INDEX('01_ASSUMPTIONS'!$J$5:$J$39,MATCH("base_support",'01_ASSUMPTIONS'!$B$5:$B$39,0))</x:f>
        <x:v>1200</x:v>
      </x:c>
      <x:c r="U15" s="6" t="n">
        <x:f>INDEX('01_ASSUMPTIONS'!$J$5:$J$39,MATCH("admin",'01_ASSUMPTIONS'!$B$5:$B$39,0))</x:f>
        <x:v>600</x:v>
      </x:c>
      <x:c r="V15" s="6" t="n">
        <x:f>INDEX('01_ASSUMPTIONS'!$J$5:$J$39,MATCH("commercial_marketing",'01_ASSUMPTIONS'!$B$5:$B$39,0))</x:f>
        <x:v>1000</x:v>
      </x:c>
      <x:c r="W15" s="6" t="n">
        <x:f>INDEX('01_ASSUMPTIONS'!$J$5:$J$39,MATCH("other_fixed",'01_ASSUMPTIONS'!$B$5:$B$39,0))</x:f>
        <x:v>300</x:v>
      </x:c>
      <x:c r="X15" s="6" t="n">
        <x:f>SUM(R15:W15)</x:f>
        <x:v>8600</x:v>
      </x:c>
      <x:c r="Y15" s="6" t="n">
        <x:f>L15-Q15-X15</x:f>
        <x:v>-7177.19756322337</x:v>
      </x:c>
      <x:c r="Z15" s="6" t="n">
        <x:f>0</x:f>
        <x:v>0</x:v>
      </x:c>
      <x:c r="AA15" s="6" t="n">
        <x:f>Y15-Z15</x:f>
        <x:v>-7177.19756322337</x:v>
      </x:c>
      <x:c r="AB15" s="5" t="n">
        <x:f>1/(1+'01_ASSUMPTIONS'!$E$2)^A15</x:f>
        <x:v>0.7707939871991959</x:v>
      </x:c>
      <x:c r="AC15" s="6" t="n">
        <x:f>AA15*AB15</x:f>
        <x:v>-5532.140726673294</x:v>
      </x:c>
      <x:c r="AD15" s="6" t="n">
        <x:f>AD14+AA15</x:f>
        <x:v>-130830.31940205497</x:v>
      </x:c>
      <x:c r="AE15" t="str">
        <x:f>IF(Y15&gt;=0,"Yes","No")</x:f>
        <x:v>No</x:v>
      </x:c>
      <x:c r="AF15" t="str">
        <x:f>IF(AD15&gt;=0,"Yes","No")</x:f>
        <x:v>No</x:v>
      </x:c>
    </x:row>
    <x:row r="16">
      <x:c r="A16" t="n">
        <x:f>15</x:f>
        <x:v>15</x:v>
      </x:c>
      <x:c r="B16" s="7" t="n">
        <x:f>B15*(1-INDEX('01_ASSUMPTIONS'!$J$5:$J$39,MATCH("monthly_churn",'01_ASSUMPTIONS'!$B$5:$B$39,0)))+INDEX('01_ASSUMPTIONS'!$J$5:$J$39,MATCH("starter_monthly_acquisition",'01_ASSUMPTIONS'!$B$5:$B$39,0))</x:f>
        <x:v>5.328682645180331</x:v>
      </x:c>
      <x:c r="C16" s="7" t="n">
        <x:f>C15*(1-INDEX('01_ASSUMPTIONS'!$J$5:$J$39,MATCH("monthly_churn",'01_ASSUMPTIONS'!$B$5:$B$39,0)))+INDEX('01_ASSUMPTIONS'!$J$5:$J$39,MATCH("professional_monthly_acquisition",'01_ASSUMPTIONS'!$B$5:$B$39,0))</x:f>
        <x:v>1.568585384127576</x:v>
      </x:c>
      <x:c r="D16" s="7" t="n">
        <x:f>D15*(1-INDEX('01_ASSUMPTIONS'!$J$5:$J$39,MATCH("monthly_churn",'01_ASSUMPTIONS'!$B$5:$B$39,0)))+INDEX('01_ASSUMPTIONS'!$J$5:$J$39,MATCH("enterprise_monthly_acquisition",'01_ASSUMPTIONS'!$B$5:$B$39,0))</x:f>
        <x:v>0.392146346031894</x:v>
      </x:c>
      <x:c r="E16" s="7" t="n">
        <x:f>SUM(B16:D16)</x:f>
        <x:v>7.289414375339802</x:v>
      </x:c>
      <x:c r="F16" s="7" t="n">
        <x:f>B16*INDEX('01_ASSUMPTIONS'!$J$5:$J$39,MATCH("starter_studies_per_customer",'01_ASSUMPTIONS'!$B$5:$B$39,0))</x:f>
        <x:v>692.728743873443</x:v>
      </x:c>
      <x:c r="G16" s="7" t="n">
        <x:f>C16*INDEX('01_ASSUMPTIONS'!$J$5:$J$39,MATCH("professional_studies_per_customer",'01_ASSUMPTIONS'!$B$5:$B$39,0))</x:f>
        <x:v>862.7219612701668</x:v>
      </x:c>
      <x:c r="H16" s="7" t="n">
        <x:f>D16*INDEX('01_ASSUMPTIONS'!$J$5:$J$39,MATCH("enterprise_studies_per_customer",'01_ASSUMPTIONS'!$B$5:$B$39,0))</x:f>
        <x:v>627.4341536510304</x:v>
      </x:c>
      <x:c r="I16" s="7" t="n">
        <x:f>SUM(F16:H16)</x:f>
        <x:v>2182.8848587946404</x:v>
      </x:c>
      <x:c r="J16" s="6" t="n">
        <x:f>B16*INDEX('01_ASSUMPTIONS'!$J$5:$J$39,MATCH("starter_fee",'01_ASSUMPTIONS'!$B$5:$B$39,0))+C16*INDEX('01_ASSUMPTIONS'!$J$5:$J$39,MATCH("professional_fee",'01_ASSUMPTIONS'!$B$5:$B$39,0))+D16*INDEX('01_ASSUMPTIONS'!$J$5:$J$39,MATCH("enterprise_fee",'01_ASSUMPTIONS'!$B$5:$B$39,0))</x:f>
        <x:v>7471.604758855843</x:v>
      </x:c>
      <x:c r="K16" s="6" t="n">
        <x:f>MAX(F16-B16*INDEX('01_ASSUMPTIONS'!$J$5:$J$39,MATCH("starter_included_studies",'01_ASSUMPTIONS'!$B$5:$B$39,0)),0)*INDEX('01_ASSUMPTIONS'!$J$5:$J$39,MATCH("starter_overage_fee",'01_ASSUMPTIONS'!$B$5:$B$39,0))+MAX(G16-C16*INDEX('01_ASSUMPTIONS'!$J$5:$J$39,MATCH("professional_included_studies",'01_ASSUMPTIONS'!$B$5:$B$39,0)),0)*INDEX('01_ASSUMPTIONS'!$J$5:$J$39,MATCH("professional_overage_fee",'01_ASSUMPTIONS'!$B$5:$B$39,0))+MAX(H16-D16*INDEX('01_ASSUMPTIONS'!$J$5:$J$39,MATCH("enterprise_included_studies",'01_ASSUMPTIONS'!$B$5:$B$39,0)),0)*INDEX('01_ASSUMPTIONS'!$J$5:$J$39,MATCH("enterprise_overage_fee",'01_ASSUMPTIONS'!$B$5:$B$39,0))</x:f>
        <x:v>1053.728765265457</x:v>
      </x:c>
      <x:c r="L16" s="6" t="n">
        <x:f>J16+K16</x:f>
        <x:v>8525.3335241213</x:v>
      </x:c>
      <x:c r="M16" s="6" t="n">
        <x:f>I16*INDEX('01_ASSUMPTIONS'!$J$5:$J$39,MATCH("cloud_cost_per_study",'01_ASSUMPTIONS'!$B$5:$B$39,0))</x:f>
        <x:v>3274.3272881919606</x:v>
      </x:c>
      <x:c r="N16" s="6" t="n">
        <x:f>I16*INDEX('01_ASSUMPTIONS'!$J$5:$J$39,MATCH("storage_cost_per_study",'01_ASSUMPTIONS'!$B$5:$B$39,0))</x:f>
        <x:v>480.2346689348209</x:v>
      </x:c>
      <x:c r="O16" s="6" t="n">
        <x:f>I16*INDEX('01_ASSUMPTIONS'!$J$5:$J$39,MATCH("ai_processing_cost_per_study",'01_ASSUMPTIONS'!$B$5:$B$39,0))</x:f>
        <x:v>2837.750316433033</x:v>
      </x:c>
      <x:c r="P16" s="6" t="n">
        <x:f>E16*INDEX('01_ASSUMPTIONS'!$J$5:$J$39,MATCH("variable_support_per_customer",'01_ASSUMPTIONS'!$B$5:$B$39,0))</x:f>
        <x:v>437.3648625203881</x:v>
      </x:c>
      <x:c r="Q16" s="6" t="n">
        <x:f>SUM(M16:P16)</x:f>
        <x:v>7029.677136080202</x:v>
      </x:c>
      <x:c r="R16" s="6" t="n">
        <x:f>INDEX('01_ASSUMPTIONS'!$J$5:$J$39,MATCH("fixed_infra",'01_ASSUMPTIONS'!$B$5:$B$39,0))</x:f>
        <x:v>500</x:v>
      </x:c>
      <x:c r="S16" s="6" t="n">
        <x:f>INDEX('01_ASSUMPTIONS'!$J$5:$J$39,MATCH("software_maintenance",'01_ASSUMPTIONS'!$B$5:$B$39,0))</x:f>
        <x:v>5000</x:v>
      </x:c>
      <x:c r="T16" s="6" t="n">
        <x:f>INDEX('01_ASSUMPTIONS'!$J$5:$J$39,MATCH("base_support",'01_ASSUMPTIONS'!$B$5:$B$39,0))</x:f>
        <x:v>1200</x:v>
      </x:c>
      <x:c r="U16" s="6" t="n">
        <x:f>INDEX('01_ASSUMPTIONS'!$J$5:$J$39,MATCH("admin",'01_ASSUMPTIONS'!$B$5:$B$39,0))</x:f>
        <x:v>600</x:v>
      </x:c>
      <x:c r="V16" s="6" t="n">
        <x:f>INDEX('01_ASSUMPTIONS'!$J$5:$J$39,MATCH("commercial_marketing",'01_ASSUMPTIONS'!$B$5:$B$39,0))</x:f>
        <x:v>1000</x:v>
      </x:c>
      <x:c r="W16" s="6" t="n">
        <x:f>INDEX('01_ASSUMPTIONS'!$J$5:$J$39,MATCH("other_fixed",'01_ASSUMPTIONS'!$B$5:$B$39,0))</x:f>
        <x:v>300</x:v>
      </x:c>
      <x:c r="X16" s="6" t="n">
        <x:f>SUM(R16:W16)</x:f>
        <x:v>8600</x:v>
      </x:c>
      <x:c r="Y16" s="6" t="n">
        <x:f>L16-Q16-X16</x:f>
        <x:v>-7104.343611958901</x:v>
      </x:c>
      <x:c r="Z16" s="6" t="n">
        <x:f>0</x:f>
        <x:v>0</x:v>
      </x:c>
      <x:c r="AA16" s="6" t="n">
        <x:f>Y16-Z16</x:f>
        <x:v>-7104.343611958901</x:v>
      </x:c>
      <x:c r="AB16" s="5" t="n">
        <x:f>1/(1+'01_ASSUMPTIONS'!$E$2)^A16</x:f>
        <x:v>0.7565932872025396</x:v>
      </x:c>
      <x:c r="AC16" s="6" t="n">
        <x:f>AA16*AB16</x:f>
        <x:v>-5375.0986867883485</x:v>
      </x:c>
      <x:c r="AD16" s="6" t="n">
        <x:f>AD15+AA16</x:f>
        <x:v>-137934.66301401387</x:v>
      </x:c>
      <x:c r="AE16" t="str">
        <x:f>IF(Y16&gt;=0,"Yes","No")</x:f>
        <x:v>No</x:v>
      </x:c>
      <x:c r="AF16" t="str">
        <x:f>IF(AD16&gt;=0,"Yes","No")</x:f>
        <x:v>No</x:v>
      </x:c>
    </x:row>
    <x:row r="17">
      <x:c r="A17" t="n">
        <x:f>16</x:f>
        <x:v>16</x:v>
      </x:c>
      <x:c r="B17" s="7" t="n">
        <x:f>B16*(1-INDEX('01_ASSUMPTIONS'!$J$5:$J$39,MATCH("monthly_churn",'01_ASSUMPTIONS'!$B$5:$B$39,0)))+INDEX('01_ASSUMPTIONS'!$J$5:$J$39,MATCH("starter_monthly_acquisition",'01_ASSUMPTIONS'!$B$5:$B$39,0))</x:f>
        <x:v>5.572108992276724</x:v>
      </x:c>
      <x:c r="C17" s="7" t="n">
        <x:f>C16*(1-INDEX('01_ASSUMPTIONS'!$J$5:$J$39,MATCH("monthly_churn",'01_ASSUMPTIONS'!$B$5:$B$39,0)))+INDEX('01_ASSUMPTIONS'!$J$5:$J$39,MATCH("professional_monthly_acquisition",'01_ASSUMPTIONS'!$B$5:$B$39,0))</x:f>
        <x:v>1.6572136764450245</x:v>
      </x:c>
      <x:c r="D17" s="7" t="n">
        <x:f>D16*(1-INDEX('01_ASSUMPTIONS'!$J$5:$J$39,MATCH("monthly_churn",'01_ASSUMPTIONS'!$B$5:$B$39,0)))+INDEX('01_ASSUMPTIONS'!$J$5:$J$39,MATCH("enterprise_monthly_acquisition",'01_ASSUMPTIONS'!$B$5:$B$39,0))</x:f>
        <x:v>0.4143034191112561</x:v>
      </x:c>
      <x:c r="E17" s="7" t="n">
        <x:f>SUM(B17:D17)</x:f>
        <x:v>7.643626087833004</x:v>
      </x:c>
      <x:c r="F17" s="7" t="n">
        <x:f>B17*INDEX('01_ASSUMPTIONS'!$J$5:$J$39,MATCH("starter_studies_per_customer",'01_ASSUMPTIONS'!$B$5:$B$39,0))</x:f>
        <x:v>724.3741689959741</x:v>
      </x:c>
      <x:c r="G17" s="7" t="n">
        <x:f>C17*INDEX('01_ASSUMPTIONS'!$J$5:$J$39,MATCH("professional_studies_per_customer",'01_ASSUMPTIONS'!$B$5:$B$39,0))</x:f>
        <x:v>911.4675220447634</x:v>
      </x:c>
      <x:c r="H17" s="7" t="n">
        <x:f>D17*INDEX('01_ASSUMPTIONS'!$J$5:$J$39,MATCH("enterprise_studies_per_customer",'01_ASSUMPTIONS'!$B$5:$B$39,0))</x:f>
        <x:v>662.8854705780097</x:v>
      </x:c>
      <x:c r="I17" s="7" t="n">
        <x:f>SUM(F17:H17)</x:f>
        <x:v>2298.7271616187472</x:v>
      </x:c>
      <x:c r="J17" s="6" t="n">
        <x:f>B17*INDEX('01_ASSUMPTIONS'!$J$5:$J$39,MATCH("starter_fee",'01_ASSUMPTIONS'!$B$5:$B$39,0))+C17*INDEX('01_ASSUMPTIONS'!$J$5:$J$39,MATCH("professional_fee",'01_ASSUMPTIONS'!$B$5:$B$39,0))+D17*INDEX('01_ASSUMPTIONS'!$J$5:$J$39,MATCH("enterprise_fee",'01_ASSUMPTIONS'!$B$5:$B$39,0))</x:f>
        <x:v>7859.172663678726</x:v>
      </x:c>
      <x:c r="K17" s="6" t="n">
        <x:f>MAX(F17-B17*INDEX('01_ASSUMPTIONS'!$J$5:$J$39,MATCH("starter_included_studies",'01_ASSUMPTIONS'!$B$5:$B$39,0)),0)*INDEX('01_ASSUMPTIONS'!$J$5:$J$39,MATCH("starter_overage_fee",'01_ASSUMPTIONS'!$B$5:$B$39,0))+MAX(G17-C17*INDEX('01_ASSUMPTIONS'!$J$5:$J$39,MATCH("professional_included_studies",'01_ASSUMPTIONS'!$B$5:$B$39,0)),0)*INDEX('01_ASSUMPTIONS'!$J$5:$J$39,MATCH("professional_overage_fee",'01_ASSUMPTIONS'!$B$5:$B$39,0))+MAX(H17-D17*INDEX('01_ASSUMPTIONS'!$J$5:$J$39,MATCH("enterprise_included_studies",'01_ASSUMPTIONS'!$B$5:$B$39,0)),0)*INDEX('01_ASSUMPTIONS'!$J$5:$J$39,MATCH("enterprise_overage_fee",'01_ASSUMPTIONS'!$B$5:$B$39,0))</x:f>
        <x:v>1108.6541899601468</x:v>
      </x:c>
      <x:c r="L17" s="6" t="n">
        <x:f>J17+K17</x:f>
        <x:v>8967.826853638873</x:v>
      </x:c>
      <x:c r="M17" s="6" t="n">
        <x:f>I17*INDEX('01_ASSUMPTIONS'!$J$5:$J$39,MATCH("cloud_cost_per_study",'01_ASSUMPTIONS'!$B$5:$B$39,0))</x:f>
        <x:v>3448.090742428121</x:v>
      </x:c>
      <x:c r="N17" s="6" t="n">
        <x:f>I17*INDEX('01_ASSUMPTIONS'!$J$5:$J$39,MATCH("storage_cost_per_study",'01_ASSUMPTIONS'!$B$5:$B$39,0))</x:f>
        <x:v>505.7199755561244</x:v>
      </x:c>
      <x:c r="O17" s="6" t="n">
        <x:f>I17*INDEX('01_ASSUMPTIONS'!$J$5:$J$39,MATCH("ai_processing_cost_per_study",'01_ASSUMPTIONS'!$B$5:$B$39,0))</x:f>
        <x:v>2988.3453101043715</x:v>
      </x:c>
      <x:c r="P17" s="6" t="n">
        <x:f>E17*INDEX('01_ASSUMPTIONS'!$J$5:$J$39,MATCH("variable_support_per_customer",'01_ASSUMPTIONS'!$B$5:$B$39,0))</x:f>
        <x:v>458.6175652699803</x:v>
      </x:c>
      <x:c r="Q17" s="6" t="n">
        <x:f>SUM(M17:P17)</x:f>
        <x:v>7400.773593358597</x:v>
      </x:c>
      <x:c r="R17" s="6" t="n">
        <x:f>INDEX('01_ASSUMPTIONS'!$J$5:$J$39,MATCH("fixed_infra",'01_ASSUMPTIONS'!$B$5:$B$39,0))</x:f>
        <x:v>500</x:v>
      </x:c>
      <x:c r="S17" s="6" t="n">
        <x:f>INDEX('01_ASSUMPTIONS'!$J$5:$J$39,MATCH("software_maintenance",'01_ASSUMPTIONS'!$B$5:$B$39,0))</x:f>
        <x:v>5000</x:v>
      </x:c>
      <x:c r="T17" s="6" t="n">
        <x:f>INDEX('01_ASSUMPTIONS'!$J$5:$J$39,MATCH("base_support",'01_ASSUMPTIONS'!$B$5:$B$39,0))</x:f>
        <x:v>1200</x:v>
      </x:c>
      <x:c r="U17" s="6" t="n">
        <x:f>INDEX('01_ASSUMPTIONS'!$J$5:$J$39,MATCH("admin",'01_ASSUMPTIONS'!$B$5:$B$39,0))</x:f>
        <x:v>600</x:v>
      </x:c>
      <x:c r="V17" s="6" t="n">
        <x:f>INDEX('01_ASSUMPTIONS'!$J$5:$J$39,MATCH("commercial_marketing",'01_ASSUMPTIONS'!$B$5:$B$39,0))</x:f>
        <x:v>1000</x:v>
      </x:c>
      <x:c r="W17" s="6" t="n">
        <x:f>INDEX('01_ASSUMPTIONS'!$J$5:$J$39,MATCH("other_fixed",'01_ASSUMPTIONS'!$B$5:$B$39,0))</x:f>
        <x:v>300</x:v>
      </x:c>
      <x:c r="X17" s="6" t="n">
        <x:f>SUM(R17:W17)</x:f>
        <x:v>8600</x:v>
      </x:c>
      <x:c r="Y17" s="6" t="n">
        <x:f>L17-Q17-X17</x:f>
        <x:v>-7032.946739719724</x:v>
      </x:c>
      <x:c r="Z17" s="6" t="n">
        <x:f>0</x:f>
        <x:v>0</x:v>
      </x:c>
      <x:c r="AA17" s="6" t="n">
        <x:f>Y17-Z17</x:f>
        <x:v>-7032.946739719724</x:v>
      </x:c>
      <x:c r="AB17" s="5" t="n">
        <x:f>1/(1+'01_ASSUMPTIONS'!$E$2)^A17</x:f>
        <x:v>0.7426542133780436</x:v>
      </x:c>
      <x:c r="AC17" s="6" t="n">
        <x:f>AA17*AB17</x:f>
        <x:v>-5223.047528716228</x:v>
      </x:c>
      <x:c r="AD17" s="6" t="n">
        <x:f>AD16+AA17</x:f>
        <x:v>-144967.6097537336</x:v>
      </x:c>
      <x:c r="AE17" t="str">
        <x:f>IF(Y17&gt;=0,"Yes","No")</x:f>
        <x:v>No</x:v>
      </x:c>
      <x:c r="AF17" t="str">
        <x:f>IF(AD17&gt;=0,"Yes","No")</x:f>
        <x:v>No</x:v>
      </x:c>
    </x:row>
    <x:row r="18">
      <x:c r="A18" t="n">
        <x:f>17</x:f>
        <x:v>17</x:v>
      </x:c>
      <x:c r="B18" s="7" t="n">
        <x:f>B17*(1-INDEX('01_ASSUMPTIONS'!$J$5:$J$39,MATCH("monthly_churn",'01_ASSUMPTIONS'!$B$5:$B$39,0)))+INDEX('01_ASSUMPTIONS'!$J$5:$J$39,MATCH("starter_monthly_acquisition",'01_ASSUMPTIONS'!$B$5:$B$39,0))</x:f>
        <x:v>5.810666812431189</x:v>
      </x:c>
      <x:c r="C18" s="7" t="n">
        <x:f>C17*(1-INDEX('01_ASSUMPTIONS'!$J$5:$J$39,MATCH("monthly_churn",'01_ASSUMPTIONS'!$B$5:$B$39,0)))+INDEX('01_ASSUMPTIONS'!$J$5:$J$39,MATCH("professional_monthly_acquisition",'01_ASSUMPTIONS'!$B$5:$B$39,0))</x:f>
        <x:v>1.7440694029161241</x:v>
      </x:c>
      <x:c r="D18" s="7" t="n">
        <x:f>D17*(1-INDEX('01_ASSUMPTIONS'!$J$5:$J$39,MATCH("monthly_churn",'01_ASSUMPTIONS'!$B$5:$B$39,0)))+INDEX('01_ASSUMPTIONS'!$J$5:$J$39,MATCH("enterprise_monthly_acquisition",'01_ASSUMPTIONS'!$B$5:$B$39,0))</x:f>
        <x:v>0.43601735072903103</x:v>
      </x:c>
      <x:c r="E18" s="7" t="n">
        <x:f>SUM(B18:D18)</x:f>
        <x:v>7.990753566076345</x:v>
      </x:c>
      <x:c r="F18" s="7" t="n">
        <x:f>B18*INDEX('01_ASSUMPTIONS'!$J$5:$J$39,MATCH("starter_studies_per_customer",'01_ASSUMPTIONS'!$B$5:$B$39,0))</x:f>
        <x:v>755.3866856160546</x:v>
      </x:c>
      <x:c r="G18" s="7" t="n">
        <x:f>C18*INDEX('01_ASSUMPTIONS'!$J$5:$J$39,MATCH("professional_studies_per_customer",'01_ASSUMPTIONS'!$B$5:$B$39,0))</x:f>
        <x:v>959.2381716038683</x:v>
      </x:c>
      <x:c r="H18" s="7" t="n">
        <x:f>D18*INDEX('01_ASSUMPTIONS'!$J$5:$J$39,MATCH("enterprise_studies_per_customer",'01_ASSUMPTIONS'!$B$5:$B$39,0))</x:f>
        <x:v>697.6277611664497</x:v>
      </x:c>
      <x:c r="I18" s="7" t="n">
        <x:f>SUM(F18:H18)</x:f>
        <x:v>2412.2526183863724</x:v>
      </x:c>
      <x:c r="J18" s="6" t="n">
        <x:f>B18*INDEX('01_ASSUMPTIONS'!$J$5:$J$39,MATCH("starter_fee",'01_ASSUMPTIONS'!$B$5:$B$39,0))+C18*INDEX('01_ASSUMPTIONS'!$J$5:$J$39,MATCH("professional_fee",'01_ASSUMPTIONS'!$B$5:$B$39,0))+D18*INDEX('01_ASSUMPTIONS'!$J$5:$J$39,MATCH("enterprise_fee",'01_ASSUMPTIONS'!$B$5:$B$39,0))</x:f>
        <x:v>8238.989210405152</x:v>
      </x:c>
      <x:c r="K18" s="6" t="n">
        <x:f>MAX(F18-B18*INDEX('01_ASSUMPTIONS'!$J$5:$J$39,MATCH("starter_included_studies",'01_ASSUMPTIONS'!$B$5:$B$39,0)),0)*INDEX('01_ASSUMPTIONS'!$J$5:$J$39,MATCH("starter_overage_fee",'01_ASSUMPTIONS'!$B$5:$B$39,0))+MAX(G18-C18*INDEX('01_ASSUMPTIONS'!$J$5:$J$39,MATCH("professional_included_studies",'01_ASSUMPTIONS'!$B$5:$B$39,0)),0)*INDEX('01_ASSUMPTIONS'!$J$5:$J$39,MATCH("professional_overage_fee",'01_ASSUMPTIONS'!$B$5:$B$39,0))+MAX(H18-D18*INDEX('01_ASSUMPTIONS'!$J$5:$J$39,MATCH("enterprise_included_studies",'01_ASSUMPTIONS'!$B$5:$B$39,0)),0)*INDEX('01_ASSUMPTIONS'!$J$5:$J$39,MATCH("enterprise_overage_fee",'01_ASSUMPTIONS'!$B$5:$B$39,0))</x:f>
        <x:v>1162.4811061609453</x:v>
      </x:c>
      <x:c r="L18" s="6" t="n">
        <x:f>J18+K18</x:f>
        <x:v>9401.470316566098</x:v>
      </x:c>
      <x:c r="M18" s="6" t="n">
        <x:f>I18*INDEX('01_ASSUMPTIONS'!$J$5:$J$39,MATCH("cloud_cost_per_study",'01_ASSUMPTIONS'!$B$5:$B$39,0))</x:f>
        <x:v>3618.378927579559</x:v>
      </x:c>
      <x:c r="N18" s="6" t="n">
        <x:f>I18*INDEX('01_ASSUMPTIONS'!$J$5:$J$39,MATCH("storage_cost_per_study",'01_ASSUMPTIONS'!$B$5:$B$39,0))</x:f>
        <x:v>530.695576045002</x:v>
      </x:c>
      <x:c r="O18" s="6" t="n">
        <x:f>I18*INDEX('01_ASSUMPTIONS'!$J$5:$J$39,MATCH("ai_processing_cost_per_study",'01_ASSUMPTIONS'!$B$5:$B$39,0))</x:f>
        <x:v>3135.928403902284</x:v>
      </x:c>
      <x:c r="P18" s="6" t="n">
        <x:f>E18*INDEX('01_ASSUMPTIONS'!$J$5:$J$39,MATCH("variable_support_per_customer",'01_ASSUMPTIONS'!$B$5:$B$39,0))</x:f>
        <x:v>479.44521396458066</x:v>
      </x:c>
      <x:c r="Q18" s="6" t="n">
        <x:f>SUM(M18:P18)</x:f>
        <x:v>7764.448121491426</x:v>
      </x:c>
      <x:c r="R18" s="6" t="n">
        <x:f>INDEX('01_ASSUMPTIONS'!$J$5:$J$39,MATCH("fixed_infra",'01_ASSUMPTIONS'!$B$5:$B$39,0))</x:f>
        <x:v>500</x:v>
      </x:c>
      <x:c r="S18" s="6" t="n">
        <x:f>INDEX('01_ASSUMPTIONS'!$J$5:$J$39,MATCH("software_maintenance",'01_ASSUMPTIONS'!$B$5:$B$39,0))</x:f>
        <x:v>5000</x:v>
      </x:c>
      <x:c r="T18" s="6" t="n">
        <x:f>INDEX('01_ASSUMPTIONS'!$J$5:$J$39,MATCH("base_support",'01_ASSUMPTIONS'!$B$5:$B$39,0))</x:f>
        <x:v>1200</x:v>
      </x:c>
      <x:c r="U18" s="6" t="n">
        <x:f>INDEX('01_ASSUMPTIONS'!$J$5:$J$39,MATCH("admin",'01_ASSUMPTIONS'!$B$5:$B$39,0))</x:f>
        <x:v>600</x:v>
      </x:c>
      <x:c r="V18" s="6" t="n">
        <x:f>INDEX('01_ASSUMPTIONS'!$J$5:$J$39,MATCH("commercial_marketing",'01_ASSUMPTIONS'!$B$5:$B$39,0))</x:f>
        <x:v>1000</x:v>
      </x:c>
      <x:c r="W18" s="6" t="n">
        <x:f>INDEX('01_ASSUMPTIONS'!$J$5:$J$39,MATCH("other_fixed",'01_ASSUMPTIONS'!$B$5:$B$39,0))</x:f>
        <x:v>300</x:v>
      </x:c>
      <x:c r="X18" s="6" t="n">
        <x:f>SUM(R18:W18)</x:f>
        <x:v>8600</x:v>
      </x:c>
      <x:c r="Y18" s="6" t="n">
        <x:f>L18-Q18-X18</x:f>
        <x:v>-6962.977804925328</x:v>
      </x:c>
      <x:c r="Z18" s="6" t="n">
        <x:f>0</x:f>
        <x:v>0</x:v>
      </x:c>
      <x:c r="AA18" s="6" t="n">
        <x:f>Y18-Z18</x:f>
        <x:v>-6962.977804925328</x:v>
      </x:c>
      <x:c r="AB18" s="5" t="n">
        <x:f>1/(1+'01_ASSUMPTIONS'!$E$2)^A18</x:f>
        <x:v>0.7289719456637407</x:v>
      </x:c>
      <x:c r="AC18" s="6" t="n">
        <x:f>AA18*AB18</x:f>
        <x:v>-5075.815478069859</x:v>
      </x:c>
      <x:c r="AD18" s="6" t="n">
        <x:f>AD17+AA18</x:f>
        <x:v>-151930.5875586589</x:v>
      </x:c>
      <x:c r="AE18" t="str">
        <x:f>IF(Y18&gt;=0,"Yes","No")</x:f>
        <x:v>No</x:v>
      </x:c>
      <x:c r="AF18" t="str">
        <x:f>IF(AD18&gt;=0,"Yes","No")</x:f>
        <x:v>No</x:v>
      </x:c>
    </x:row>
    <x:row r="19">
      <x:c r="A19" t="n">
        <x:f>18</x:f>
        <x:v>18</x:v>
      </x:c>
      <x:c r="B19" s="7" t="n">
        <x:f>B18*(1-INDEX('01_ASSUMPTIONS'!$J$5:$J$39,MATCH("monthly_churn",'01_ASSUMPTIONS'!$B$5:$B$39,0)))+INDEX('01_ASSUMPTIONS'!$J$5:$J$39,MATCH("starter_monthly_acquisition",'01_ASSUMPTIONS'!$B$5:$B$39,0))</x:f>
        <x:v>6.044453476182565</x:v>
      </x:c>
      <x:c r="C19" s="7" t="n">
        <x:f>C18*(1-INDEX('01_ASSUMPTIONS'!$J$5:$J$39,MATCH("monthly_churn",'01_ASSUMPTIONS'!$B$5:$B$39,0)))+INDEX('01_ASSUMPTIONS'!$J$5:$J$39,MATCH("professional_monthly_acquisition",'01_ASSUMPTIONS'!$B$5:$B$39,0))</x:f>
        <x:v>1.8291880148578015</x:v>
      </x:c>
      <x:c r="D19" s="7" t="n">
        <x:f>D18*(1-INDEX('01_ASSUMPTIONS'!$J$5:$J$39,MATCH("monthly_churn",'01_ASSUMPTIONS'!$B$5:$B$39,0)))+INDEX('01_ASSUMPTIONS'!$J$5:$J$39,MATCH("enterprise_monthly_acquisition",'01_ASSUMPTIONS'!$B$5:$B$39,0))</x:f>
        <x:v>0.45729700371445037</x:v>
      </x:c>
      <x:c r="E19" s="7" t="n">
        <x:f>SUM(B19:D19)</x:f>
        <x:v>8.330938494754816</x:v>
      </x:c>
      <x:c r="F19" s="7" t="n">
        <x:f>B19*INDEX('01_ASSUMPTIONS'!$J$5:$J$39,MATCH("starter_studies_per_customer",'01_ASSUMPTIONS'!$B$5:$B$39,0))</x:f>
        <x:v>785.7789519037335</x:v>
      </x:c>
      <x:c r="G19" s="7" t="n">
        <x:f>C19*INDEX('01_ASSUMPTIONS'!$J$5:$J$39,MATCH("professional_studies_per_customer",'01_ASSUMPTIONS'!$B$5:$B$39,0))</x:f>
        <x:v>1006.0534081717908</x:v>
      </x:c>
      <x:c r="H19" s="7" t="n">
        <x:f>D19*INDEX('01_ASSUMPTIONS'!$J$5:$J$39,MATCH("enterprise_studies_per_customer",'01_ASSUMPTIONS'!$B$5:$B$39,0))</x:f>
        <x:v>731.6752059431205</x:v>
      </x:c>
      <x:c r="I19" s="7" t="n">
        <x:f>SUM(F19:H19)</x:f>
        <x:v>2523.507566018645</x:v>
      </x:c>
      <x:c r="J19" s="6" t="n">
        <x:f>B19*INDEX('01_ASSUMPTIONS'!$J$5:$J$39,MATCH("starter_fee",'01_ASSUMPTIONS'!$B$5:$B$39,0))+C19*INDEX('01_ASSUMPTIONS'!$J$5:$J$39,MATCH("professional_fee",'01_ASSUMPTIONS'!$B$5:$B$39,0))+D19*INDEX('01_ASSUMPTIONS'!$J$5:$J$39,MATCH("enterprise_fee",'01_ASSUMPTIONS'!$B$5:$B$39,0))</x:f>
        <x:v>8611.209426197049</x:v>
      </x:c>
      <x:c r="K19" s="6" t="n">
        <x:f>MAX(F19-B19*INDEX('01_ASSUMPTIONS'!$J$5:$J$39,MATCH("starter_included_studies",'01_ASSUMPTIONS'!$B$5:$B$39,0)),0)*INDEX('01_ASSUMPTIONS'!$J$5:$J$39,MATCH("starter_overage_fee",'01_ASSUMPTIONS'!$B$5:$B$39,0))+MAX(G19-C19*INDEX('01_ASSUMPTIONS'!$J$5:$J$39,MATCH("professional_included_studies",'01_ASSUMPTIONS'!$B$5:$B$39,0)),0)*INDEX('01_ASSUMPTIONS'!$J$5:$J$39,MATCH("professional_overage_fee",'01_ASSUMPTIONS'!$B$5:$B$39,0))+MAX(H19-D19*INDEX('01_ASSUMPTIONS'!$J$5:$J$39,MATCH("enterprise_included_studies",'01_ASSUMPTIONS'!$B$5:$B$39,0)),0)*INDEX('01_ASSUMPTIONS'!$J$5:$J$39,MATCH("enterprise_overage_fee",'01_ASSUMPTIONS'!$B$5:$B$39,0))</x:f>
        <x:v>1215.2314840377264</x:v>
      </x:c>
      <x:c r="L19" s="6" t="n">
        <x:f>J19+K19</x:f>
        <x:v>9826.440910234774</x:v>
      </x:c>
      <x:c r="M19" s="6" t="n">
        <x:f>I19*INDEX('01_ASSUMPTIONS'!$J$5:$J$39,MATCH("cloud_cost_per_study",'01_ASSUMPTIONS'!$B$5:$B$39,0))</x:f>
        <x:v>3785.2613490279673</x:v>
      </x:c>
      <x:c r="N19" s="6" t="n">
        <x:f>I19*INDEX('01_ASSUMPTIONS'!$J$5:$J$39,MATCH("storage_cost_per_study",'01_ASSUMPTIONS'!$B$5:$B$39,0))</x:f>
        <x:v>555.1716645241019</x:v>
      </x:c>
      <x:c r="O19" s="6" t="n">
        <x:f>I19*INDEX('01_ASSUMPTIONS'!$J$5:$J$39,MATCH("ai_processing_cost_per_study",'01_ASSUMPTIONS'!$B$5:$B$39,0))</x:f>
        <x:v>3280.5598358242382</x:v>
      </x:c>
      <x:c r="P19" s="6" t="n">
        <x:f>E19*INDEX('01_ASSUMPTIONS'!$J$5:$J$39,MATCH("variable_support_per_customer",'01_ASSUMPTIONS'!$B$5:$B$39,0))</x:f>
        <x:v>499.856309685289</x:v>
      </x:c>
      <x:c r="Q19" s="6" t="n">
        <x:f>SUM(M19:P19)</x:f>
        <x:v>8120.849159061596</x:v>
      </x:c>
      <x:c r="R19" s="6" t="n">
        <x:f>INDEX('01_ASSUMPTIONS'!$J$5:$J$39,MATCH("fixed_infra",'01_ASSUMPTIONS'!$B$5:$B$39,0))</x:f>
        <x:v>500</x:v>
      </x:c>
      <x:c r="S19" s="6" t="n">
        <x:f>INDEX('01_ASSUMPTIONS'!$J$5:$J$39,MATCH("software_maintenance",'01_ASSUMPTIONS'!$B$5:$B$39,0))</x:f>
        <x:v>5000</x:v>
      </x:c>
      <x:c r="T19" s="6" t="n">
        <x:f>INDEX('01_ASSUMPTIONS'!$J$5:$J$39,MATCH("base_support",'01_ASSUMPTIONS'!$B$5:$B$39,0))</x:f>
        <x:v>1200</x:v>
      </x:c>
      <x:c r="U19" s="6" t="n">
        <x:f>INDEX('01_ASSUMPTIONS'!$J$5:$J$39,MATCH("admin",'01_ASSUMPTIONS'!$B$5:$B$39,0))</x:f>
        <x:v>600</x:v>
      </x:c>
      <x:c r="V19" s="6" t="n">
        <x:f>INDEX('01_ASSUMPTIONS'!$J$5:$J$39,MATCH("commercial_marketing",'01_ASSUMPTIONS'!$B$5:$B$39,0))</x:f>
        <x:v>1000</x:v>
      </x:c>
      <x:c r="W19" s="6" t="n">
        <x:f>INDEX('01_ASSUMPTIONS'!$J$5:$J$39,MATCH("other_fixed",'01_ASSUMPTIONS'!$B$5:$B$39,0))</x:f>
        <x:v>300</x:v>
      </x:c>
      <x:c r="X19" s="6" t="n">
        <x:f>SUM(R19:W19)</x:f>
        <x:v>8600</x:v>
      </x:c>
      <x:c r="Y19" s="6" t="n">
        <x:f>L19-Q19-X19</x:f>
        <x:v>-6894.408248826821</x:v>
      </x:c>
      <x:c r="Z19" s="6" t="n">
        <x:f>0</x:f>
        <x:v>0</x:v>
      </x:c>
      <x:c r="AA19" s="6" t="n">
        <x:f>Y19-Z19</x:f>
        <x:v>-6894.408248826821</x:v>
      </x:c>
      <x:c r="AB19" s="5" t="n">
        <x:f>1/(1+'01_ASSUMPTIONS'!$E$2)^A19</x:f>
        <x:v>0.7155417527999315</x:v>
      </x:c>
      <x:c r="AC19" s="6" t="n">
        <x:f>AA19*AB19</x:f>
        <x:v>-4933.23696288385</x:v>
      </x:c>
      <x:c r="AD19" s="6" t="n">
        <x:f>AD18+AA19</x:f>
        <x:v>-158824.99580748574</x:v>
      </x:c>
      <x:c r="AE19" t="str">
        <x:f>IF(Y19&gt;=0,"Yes","No")</x:f>
        <x:v>No</x:v>
      </x:c>
      <x:c r="AF19" t="str">
        <x:f>IF(AD19&gt;=0,"Yes","No")</x:f>
        <x:v>No</x:v>
      </x:c>
    </x:row>
    <x:row r="20">
      <x:c r="A20" t="n">
        <x:f>19</x:f>
        <x:v>19</x:v>
      </x:c>
      <x:c r="B20" s="7" t="n">
        <x:f>B19*(1-INDEX('01_ASSUMPTIONS'!$J$5:$J$39,MATCH("monthly_churn",'01_ASSUMPTIONS'!$B$5:$B$39,0)))+INDEX('01_ASSUMPTIONS'!$J$5:$J$39,MATCH("starter_monthly_acquisition",'01_ASSUMPTIONS'!$B$5:$B$39,0))</x:f>
        <x:v>6.273564406658913</x:v>
      </x:c>
      <x:c r="C20" s="7" t="n">
        <x:f>C19*(1-INDEX('01_ASSUMPTIONS'!$J$5:$J$39,MATCH("monthly_churn",'01_ASSUMPTIONS'!$B$5:$B$39,0)))+INDEX('01_ASSUMPTIONS'!$J$5:$J$39,MATCH("professional_monthly_acquisition",'01_ASSUMPTIONS'!$B$5:$B$39,0))</x:f>
        <x:v>1.9126042545606454</x:v>
      </x:c>
      <x:c r="D20" s="7" t="n">
        <x:f>D19*(1-INDEX('01_ASSUMPTIONS'!$J$5:$J$39,MATCH("monthly_churn",'01_ASSUMPTIONS'!$B$5:$B$39,0)))+INDEX('01_ASSUMPTIONS'!$J$5:$J$39,MATCH("enterprise_monthly_acquisition",'01_ASSUMPTIONS'!$B$5:$B$39,0))</x:f>
        <x:v>0.47815106364016136</x:v>
      </x:c>
      <x:c r="E20" s="7" t="n">
        <x:f>SUM(B20:D20)</x:f>
        <x:v>8.66431972485972</x:v>
      </x:c>
      <x:c r="F20" s="7" t="n">
        <x:f>B20*INDEX('01_ASSUMPTIONS'!$J$5:$J$39,MATCH("starter_studies_per_customer",'01_ASSUMPTIONS'!$B$5:$B$39,0))</x:f>
        <x:v>815.5633728656587</x:v>
      </x:c>
      <x:c r="G20" s="7" t="n">
        <x:f>C20*INDEX('01_ASSUMPTIONS'!$J$5:$J$39,MATCH("professional_studies_per_customer",'01_ASSUMPTIONS'!$B$5:$B$39,0))</x:f>
        <x:v>1051.932340008355</x:v>
      </x:c>
      <x:c r="H20" s="7" t="n">
        <x:f>D20*INDEX('01_ASSUMPTIONS'!$J$5:$J$39,MATCH("enterprise_studies_per_customer",'01_ASSUMPTIONS'!$B$5:$B$39,0))</x:f>
        <x:v>765.0417018242582</x:v>
      </x:c>
      <x:c r="I20" s="7" t="n">
        <x:f>SUM(F20:H20)</x:f>
        <x:v>2632.5374146982717</x:v>
      </x:c>
      <x:c r="J20" s="6" t="n">
        <x:f>B20*INDEX('01_ASSUMPTIONS'!$J$5:$J$39,MATCH("starter_fee",'01_ASSUMPTIONS'!$B$5:$B$39,0))+C20*INDEX('01_ASSUMPTIONS'!$J$5:$J$39,MATCH("professional_fee",'01_ASSUMPTIONS'!$B$5:$B$39,0))+D20*INDEX('01_ASSUMPTIONS'!$J$5:$J$39,MATCH("enterprise_fee",'01_ASSUMPTIONS'!$B$5:$B$39,0))</x:f>
        <x:v>8975.985237673107</x:v>
      </x:c>
      <x:c r="K20" s="6" t="n">
        <x:f>MAX(F20-B20*INDEX('01_ASSUMPTIONS'!$J$5:$J$39,MATCH("starter_included_studies",'01_ASSUMPTIONS'!$B$5:$B$39,0)),0)*INDEX('01_ASSUMPTIONS'!$J$5:$J$39,MATCH("starter_overage_fee",'01_ASSUMPTIONS'!$B$5:$B$39,0))+MAX(G20-C20*INDEX('01_ASSUMPTIONS'!$J$5:$J$39,MATCH("professional_included_studies",'01_ASSUMPTIONS'!$B$5:$B$39,0)),0)*INDEX('01_ASSUMPTIONS'!$J$5:$J$39,MATCH("professional_overage_fee",'01_ASSUMPTIONS'!$B$5:$B$39,0))+MAX(H20-D20*INDEX('01_ASSUMPTIONS'!$J$5:$J$39,MATCH("enterprise_included_studies",'01_ASSUMPTIONS'!$B$5:$B$39,0)),0)*INDEX('01_ASSUMPTIONS'!$J$5:$J$39,MATCH("enterprise_overage_fee",'01_ASSUMPTIONS'!$B$5:$B$39,0))</x:f>
        <x:v>1266.9268543569717</x:v>
      </x:c>
      <x:c r="L20" s="6" t="n">
        <x:f>J20+K20</x:f>
        <x:v>10242.91209203008</x:v>
      </x:c>
      <x:c r="M20" s="6" t="n">
        <x:f>I20*INDEX('01_ASSUMPTIONS'!$J$5:$J$39,MATCH("cloud_cost_per_study",'01_ASSUMPTIONS'!$B$5:$B$39,0))</x:f>
        <x:v>3948.8061220474074</x:v>
      </x:c>
      <x:c r="N20" s="6" t="n">
        <x:f>I20*INDEX('01_ASSUMPTIONS'!$J$5:$J$39,MATCH("storage_cost_per_study",'01_ASSUMPTIONS'!$B$5:$B$39,0))</x:f>
        <x:v>579.1582312336197</x:v>
      </x:c>
      <x:c r="O20" s="6" t="n">
        <x:f>I20*INDEX('01_ASSUMPTIONS'!$J$5:$J$39,MATCH("ai_processing_cost_per_study",'01_ASSUMPTIONS'!$B$5:$B$39,0))</x:f>
        <x:v>3422.2986391077534</x:v>
      </x:c>
      <x:c r="P20" s="6" t="n">
        <x:f>E20*INDEX('01_ASSUMPTIONS'!$J$5:$J$39,MATCH("variable_support_per_customer",'01_ASSUMPTIONS'!$B$5:$B$39,0))</x:f>
        <x:v>519.8591834915832</x:v>
      </x:c>
      <x:c r="Q20" s="6" t="n">
        <x:f>SUM(M20:P20)</x:f>
        <x:v>8470.122175880362</x:v>
      </x:c>
      <x:c r="R20" s="6" t="n">
        <x:f>INDEX('01_ASSUMPTIONS'!$J$5:$J$39,MATCH("fixed_infra",'01_ASSUMPTIONS'!$B$5:$B$39,0))</x:f>
        <x:v>500</x:v>
      </x:c>
      <x:c r="S20" s="6" t="n">
        <x:f>INDEX('01_ASSUMPTIONS'!$J$5:$J$39,MATCH("software_maintenance",'01_ASSUMPTIONS'!$B$5:$B$39,0))</x:f>
        <x:v>5000</x:v>
      </x:c>
      <x:c r="T20" s="6" t="n">
        <x:f>INDEX('01_ASSUMPTIONS'!$J$5:$J$39,MATCH("base_support",'01_ASSUMPTIONS'!$B$5:$B$39,0))</x:f>
        <x:v>1200</x:v>
      </x:c>
      <x:c r="U20" s="6" t="n">
        <x:f>INDEX('01_ASSUMPTIONS'!$J$5:$J$39,MATCH("admin",'01_ASSUMPTIONS'!$B$5:$B$39,0))</x:f>
        <x:v>600</x:v>
      </x:c>
      <x:c r="V20" s="6" t="n">
        <x:f>INDEX('01_ASSUMPTIONS'!$J$5:$J$39,MATCH("commercial_marketing",'01_ASSUMPTIONS'!$B$5:$B$39,0))</x:f>
        <x:v>1000</x:v>
      </x:c>
      <x:c r="W20" s="6" t="n">
        <x:f>INDEX('01_ASSUMPTIONS'!$J$5:$J$39,MATCH("other_fixed",'01_ASSUMPTIONS'!$B$5:$B$39,0))</x:f>
        <x:v>300</x:v>
      </x:c>
      <x:c r="X20" s="6" t="n">
        <x:f>SUM(R20:W20)</x:f>
        <x:v>8600</x:v>
      </x:c>
      <x:c r="Y20" s="6" t="n">
        <x:f>L20-Q20-X20</x:f>
        <x:v>-6827.210083850283</x:v>
      </x:c>
      <x:c r="Z20" s="6" t="n">
        <x:f>0</x:f>
        <x:v>0</x:v>
      </x:c>
      <x:c r="AA20" s="6" t="n">
        <x:f>Y20-Z20</x:f>
        <x:v>-6827.210083850283</x:v>
      </x:c>
      <x:c r="AB20" s="5" t="n">
        <x:f>1/(1+'01_ASSUMPTIONS'!$E$2)^A20</x:f>
        <x:v>0.7023589906931386</x:v>
      </x:c>
      <x:c r="AC20" s="6" t="n">
        <x:f>AA20*AB20</x:f>
        <x:v>-4795.152383743102</x:v>
      </x:c>
      <x:c r="AD20" s="6" t="n">
        <x:f>AD19+AA20</x:f>
        <x:v>-165652.20589133602</x:v>
      </x:c>
      <x:c r="AE20" t="str">
        <x:f>IF(Y20&gt;=0,"Yes","No")</x:f>
        <x:v>No</x:v>
      </x:c>
      <x:c r="AF20" t="str">
        <x:f>IF(AD20&gt;=0,"Yes","No")</x:f>
        <x:v>No</x:v>
      </x:c>
    </x:row>
    <x:row r="21">
      <x:c r="A21" t="n">
        <x:f>20</x:f>
        <x:v>20</x:v>
      </x:c>
      <x:c r="B21" s="7" t="n">
        <x:f>B20*(1-INDEX('01_ASSUMPTIONS'!$J$5:$J$39,MATCH("monthly_churn",'01_ASSUMPTIONS'!$B$5:$B$39,0)))+INDEX('01_ASSUMPTIONS'!$J$5:$J$39,MATCH("starter_monthly_acquisition",'01_ASSUMPTIONS'!$B$5:$B$39,0))</x:f>
        <x:v>6.498093118525734</x:v>
      </x:c>
      <x:c r="C21" s="7" t="n">
        <x:f>C20*(1-INDEX('01_ASSUMPTIONS'!$J$5:$J$39,MATCH("monthly_churn",'01_ASSUMPTIONS'!$B$5:$B$39,0)))+INDEX('01_ASSUMPTIONS'!$J$5:$J$39,MATCH("professional_monthly_acquisition",'01_ASSUMPTIONS'!$B$5:$B$39,0))</x:f>
        <x:v>1.9943521694694324</x:v>
      </x:c>
      <x:c r="D21" s="7" t="n">
        <x:f>D20*(1-INDEX('01_ASSUMPTIONS'!$J$5:$J$39,MATCH("monthly_churn",'01_ASSUMPTIONS'!$B$5:$B$39,0)))+INDEX('01_ASSUMPTIONS'!$J$5:$J$39,MATCH("enterprise_monthly_acquisition",'01_ASSUMPTIONS'!$B$5:$B$39,0))</x:f>
        <x:v>0.4985880423673581</x:v>
      </x:c>
      <x:c r="E21" s="7" t="n">
        <x:f>SUM(B21:D21)</x:f>
        <x:v>8.991033330362525</x:v>
      </x:c>
      <x:c r="F21" s="7" t="n">
        <x:f>B21*INDEX('01_ASSUMPTIONS'!$J$5:$J$39,MATCH("starter_studies_per_customer",'01_ASSUMPTIONS'!$B$5:$B$39,0))</x:f>
        <x:v>844.7521054083454</x:v>
      </x:c>
      <x:c r="G21" s="7" t="n">
        <x:f>C21*INDEX('01_ASSUMPTIONS'!$J$5:$J$39,MATCH("professional_studies_per_customer",'01_ASSUMPTIONS'!$B$5:$B$39,0))</x:f>
        <x:v>1096.8936932081879</x:v>
      </x:c>
      <x:c r="H21" s="7" t="n">
        <x:f>D21*INDEX('01_ASSUMPTIONS'!$J$5:$J$39,MATCH("enterprise_studies_per_customer",'01_ASSUMPTIONS'!$B$5:$B$39,0))</x:f>
        <x:v>797.7408677877729</x:v>
      </x:c>
      <x:c r="I21" s="7" t="n">
        <x:f>SUM(F21:H21)</x:f>
        <x:v>2739.386666404306</x:v>
      </x:c>
      <x:c r="J21" s="6" t="n">
        <x:f>B21*INDEX('01_ASSUMPTIONS'!$J$5:$J$39,MATCH("starter_fee",'01_ASSUMPTIONS'!$B$5:$B$39,0))+C21*INDEX('01_ASSUMPTIONS'!$J$5:$J$39,MATCH("professional_fee",'01_ASSUMPTIONS'!$B$5:$B$39,0))+D21*INDEX('01_ASSUMPTIONS'!$J$5:$J$39,MATCH("enterprise_fee",'01_ASSUMPTIONS'!$B$5:$B$39,0))</x:f>
        <x:v>9333.465532919643</x:v>
      </x:c>
      <x:c r="K21" s="6" t="n">
        <x:f>MAX(F21-B21*INDEX('01_ASSUMPTIONS'!$J$5:$J$39,MATCH("starter_included_studies",'01_ASSUMPTIONS'!$B$5:$B$39,0)),0)*INDEX('01_ASSUMPTIONS'!$J$5:$J$39,MATCH("starter_overage_fee",'01_ASSUMPTIONS'!$B$5:$B$39,0))+MAX(G21-C21*INDEX('01_ASSUMPTIONS'!$J$5:$J$39,MATCH("professional_included_studies",'01_ASSUMPTIONS'!$B$5:$B$39,0)),0)*INDEX('01_ASSUMPTIONS'!$J$5:$J$39,MATCH("professional_overage_fee",'01_ASSUMPTIONS'!$B$5:$B$39,0))+MAX(H21-D21*INDEX('01_ASSUMPTIONS'!$J$5:$J$39,MATCH("enterprise_included_studies",'01_ASSUMPTIONS'!$B$5:$B$39,0)),0)*INDEX('01_ASSUMPTIONS'!$J$5:$J$39,MATCH("enterprise_overage_fee",'01_ASSUMPTIONS'!$B$5:$B$39,0))</x:f>
        <x:v>1317.5883172698318</x:v>
      </x:c>
      <x:c r="L21" s="6" t="n">
        <x:f>J21+K21</x:f>
        <x:v>10651.053850189475</x:v>
      </x:c>
      <x:c r="M21" s="6" t="n">
        <x:f>I21*INDEX('01_ASSUMPTIONS'!$J$5:$J$39,MATCH("cloud_cost_per_study",'01_ASSUMPTIONS'!$B$5:$B$39,0))</x:f>
        <x:v>4109.07999960646</x:v>
      </x:c>
      <x:c r="N21" s="6" t="n">
        <x:f>I21*INDEX('01_ASSUMPTIONS'!$J$5:$J$39,MATCH("storage_cost_per_study",'01_ASSUMPTIONS'!$B$5:$B$39,0))</x:f>
        <x:v>602.6650666089473</x:v>
      </x:c>
      <x:c r="O21" s="6" t="n">
        <x:f>I21*INDEX('01_ASSUMPTIONS'!$J$5:$J$39,MATCH("ai_processing_cost_per_study",'01_ASSUMPTIONS'!$B$5:$B$39,0))</x:f>
        <x:v>3561.2026663255983</x:v>
      </x:c>
      <x:c r="P21" s="6" t="n">
        <x:f>E21*INDEX('01_ASSUMPTIONS'!$J$5:$J$39,MATCH("variable_support_per_customer",'01_ASSUMPTIONS'!$B$5:$B$39,0))</x:f>
        <x:v>539.4619998217515</x:v>
      </x:c>
      <x:c r="Q21" s="6" t="n">
        <x:f>SUM(M21:P21)</x:f>
        <x:v>8812.409732362756</x:v>
      </x:c>
      <x:c r="R21" s="6" t="n">
        <x:f>INDEX('01_ASSUMPTIONS'!$J$5:$J$39,MATCH("fixed_infra",'01_ASSUMPTIONS'!$B$5:$B$39,0))</x:f>
        <x:v>500</x:v>
      </x:c>
      <x:c r="S21" s="6" t="n">
        <x:f>INDEX('01_ASSUMPTIONS'!$J$5:$J$39,MATCH("software_maintenance",'01_ASSUMPTIONS'!$B$5:$B$39,0))</x:f>
        <x:v>5000</x:v>
      </x:c>
      <x:c r="T21" s="6" t="n">
        <x:f>INDEX('01_ASSUMPTIONS'!$J$5:$J$39,MATCH("base_support",'01_ASSUMPTIONS'!$B$5:$B$39,0))</x:f>
        <x:v>1200</x:v>
      </x:c>
      <x:c r="U21" s="6" t="n">
        <x:f>INDEX('01_ASSUMPTIONS'!$J$5:$J$39,MATCH("admin",'01_ASSUMPTIONS'!$B$5:$B$39,0))</x:f>
        <x:v>600</x:v>
      </x:c>
      <x:c r="V21" s="6" t="n">
        <x:f>INDEX('01_ASSUMPTIONS'!$J$5:$J$39,MATCH("commercial_marketing",'01_ASSUMPTIONS'!$B$5:$B$39,0))</x:f>
        <x:v>1000</x:v>
      </x:c>
      <x:c r="W21" s="6" t="n">
        <x:f>INDEX('01_ASSUMPTIONS'!$J$5:$J$39,MATCH("other_fixed",'01_ASSUMPTIONS'!$B$5:$B$39,0))</x:f>
        <x:v>300</x:v>
      </x:c>
      <x:c r="X21" s="6" t="n">
        <x:f>SUM(R21:W21)</x:f>
        <x:v>8600</x:v>
      </x:c>
      <x:c r="Y21" s="6" t="n">
        <x:f>L21-Q21-X21</x:f>
        <x:v>-6761.35588217328</x:v>
      </x:c>
      <x:c r="Z21" s="6" t="n">
        <x:f>0</x:f>
        <x:v>0</x:v>
      </x:c>
      <x:c r="AA21" s="6" t="n">
        <x:f>Y21-Z21</x:f>
        <x:v>-6761.35588217328</x:v>
      </x:c>
      <x:c r="AB21" s="5" t="n">
        <x:f>1/(1+'01_ASSUMPTIONS'!$E$2)^A21</x:f>
        <x:v>0.6894191008102015</x:v>
      </x:c>
      <x:c r="AC21" s="6" t="n">
        <x:f>AA21*AB21</x:f>
        <x:v>-4661.40789254567</x:v>
      </x:c>
      <x:c r="AD21" s="6" t="n">
        <x:f>AD20+AA21</x:f>
        <x:v>-172413.5617735093</x:v>
      </x:c>
      <x:c r="AE21" t="str">
        <x:f>IF(Y21&gt;=0,"Yes","No")</x:f>
        <x:v>No</x:v>
      </x:c>
      <x:c r="AF21" t="str">
        <x:f>IF(AD21&gt;=0,"Yes","No")</x:f>
        <x:v>No</x:v>
      </x:c>
    </x:row>
    <x:row r="22">
      <x:c r="A22" t="n">
        <x:f>21</x:f>
        <x:v>21</x:v>
      </x:c>
      <x:c r="B22" s="7" t="n">
        <x:f>B21*(1-INDEX('01_ASSUMPTIONS'!$J$5:$J$39,MATCH("monthly_churn",'01_ASSUMPTIONS'!$B$5:$B$39,0)))+INDEX('01_ASSUMPTIONS'!$J$5:$J$39,MATCH("starter_monthly_acquisition",'01_ASSUMPTIONS'!$B$5:$B$39,0))</x:f>
        <x:v>6.7181312561552184</x:v>
      </x:c>
      <x:c r="C22" s="7" t="n">
        <x:f>C21*(1-INDEX('01_ASSUMPTIONS'!$J$5:$J$39,MATCH("monthly_churn",'01_ASSUMPTIONS'!$B$5:$B$39,0)))+INDEX('01_ASSUMPTIONS'!$J$5:$J$39,MATCH("professional_monthly_acquisition",'01_ASSUMPTIONS'!$B$5:$B$39,0))</x:f>
        <x:v>2.0744651260800437</x:v>
      </x:c>
      <x:c r="D22" s="7" t="n">
        <x:f>D21*(1-INDEX('01_ASSUMPTIONS'!$J$5:$J$39,MATCH("monthly_churn",'01_ASSUMPTIONS'!$B$5:$B$39,0)))+INDEX('01_ASSUMPTIONS'!$J$5:$J$39,MATCH("enterprise_monthly_acquisition",'01_ASSUMPTIONS'!$B$5:$B$39,0))</x:f>
        <x:v>0.5186162815200109</x:v>
      </x:c>
      <x:c r="E22" s="7" t="n">
        <x:f>SUM(B22:D22)</x:f>
        <x:v>9.311212663755272</x:v>
      </x:c>
      <x:c r="F22" s="7" t="n">
        <x:f>B22*INDEX('01_ASSUMPTIONS'!$J$5:$J$39,MATCH("starter_studies_per_customer",'01_ASSUMPTIONS'!$B$5:$B$39,0))</x:f>
        <x:v>873.3570633001784</x:v>
      </x:c>
      <x:c r="G22" s="7" t="n">
        <x:f>C22*INDEX('01_ASSUMPTIONS'!$J$5:$J$39,MATCH("professional_studies_per_customer",'01_ASSUMPTIONS'!$B$5:$B$39,0))</x:f>
        <x:v>1140.9558193440241</x:v>
      </x:c>
      <x:c r="H22" s="7" t="n">
        <x:f>D22*INDEX('01_ASSUMPTIONS'!$J$5:$J$39,MATCH("enterprise_studies_per_customer",'01_ASSUMPTIONS'!$B$5:$B$39,0))</x:f>
        <x:v>829.7860504320175</x:v>
      </x:c>
      <x:c r="I22" s="7" t="n">
        <x:f>SUM(F22:H22)</x:f>
        <x:v>2844.09893307622</x:v>
      </x:c>
      <x:c r="J22" s="6" t="n">
        <x:f>B22*INDEX('01_ASSUMPTIONS'!$J$5:$J$39,MATCH("starter_fee",'01_ASSUMPTIONS'!$B$5:$B$39,0))+C22*INDEX('01_ASSUMPTIONS'!$J$5:$J$39,MATCH("professional_fee",'01_ASSUMPTIONS'!$B$5:$B$39,0))+D22*INDEX('01_ASSUMPTIONS'!$J$5:$J$39,MATCH("enterprise_fee",'01_ASSUMPTIONS'!$B$5:$B$39,0))</x:f>
        <x:v>9683.79622226125</x:v>
      </x:c>
      <x:c r="K22" s="6" t="n">
        <x:f>MAX(F22-B22*INDEX('01_ASSUMPTIONS'!$J$5:$J$39,MATCH("starter_included_studies",'01_ASSUMPTIONS'!$B$5:$B$39,0)),0)*INDEX('01_ASSUMPTIONS'!$J$5:$J$39,MATCH("starter_overage_fee",'01_ASSUMPTIONS'!$B$5:$B$39,0))+MAX(G22-C22*INDEX('01_ASSUMPTIONS'!$J$5:$J$39,MATCH("professional_included_studies",'01_ASSUMPTIONS'!$B$5:$B$39,0)),0)*INDEX('01_ASSUMPTIONS'!$J$5:$J$39,MATCH("professional_overage_fee",'01_ASSUMPTIONS'!$B$5:$B$39,0))+MAX(H22-D22*INDEX('01_ASSUMPTIONS'!$J$5:$J$39,MATCH("enterprise_included_studies",'01_ASSUMPTIONS'!$B$5:$B$39,0)),0)*INDEX('01_ASSUMPTIONS'!$J$5:$J$39,MATCH("enterprise_overage_fee",'01_ASSUMPTIONS'!$B$5:$B$39,0))</x:f>
        <x:v>1367.2365509244355</x:v>
      </x:c>
      <x:c r="L22" s="6" t="n">
        <x:f>J22+K22</x:f>
        <x:v>11051.032773185685</x:v>
      </x:c>
      <x:c r="M22" s="6" t="n">
        <x:f>I22*INDEX('01_ASSUMPTIONS'!$J$5:$J$39,MATCH("cloud_cost_per_study",'01_ASSUMPTIONS'!$B$5:$B$39,0))</x:f>
        <x:v>4266.14839961433</x:v>
      </x:c>
      <x:c r="N22" s="6" t="n">
        <x:f>I22*INDEX('01_ASSUMPTIONS'!$J$5:$J$39,MATCH("storage_cost_per_study",'01_ASSUMPTIONS'!$B$5:$B$39,0))</x:f>
        <x:v>625.7017652767684</x:v>
      </x:c>
      <x:c r="O22" s="6" t="n">
        <x:f>I22*INDEX('01_ASSUMPTIONS'!$J$5:$J$39,MATCH("ai_processing_cost_per_study",'01_ASSUMPTIONS'!$B$5:$B$39,0))</x:f>
        <x:v>3697.328612999086</x:v>
      </x:c>
      <x:c r="P22" s="6" t="n">
        <x:f>E22*INDEX('01_ASSUMPTIONS'!$J$5:$J$39,MATCH("variable_support_per_customer",'01_ASSUMPTIONS'!$B$5:$B$39,0))</x:f>
        <x:v>558.6727598253163</x:v>
      </x:c>
      <x:c r="Q22" s="6" t="n">
        <x:f>SUM(M22:P22)</x:f>
        <x:v>9147.8515377155</x:v>
      </x:c>
      <x:c r="R22" s="6" t="n">
        <x:f>INDEX('01_ASSUMPTIONS'!$J$5:$J$39,MATCH("fixed_infra",'01_ASSUMPTIONS'!$B$5:$B$39,0))</x:f>
        <x:v>500</x:v>
      </x:c>
      <x:c r="S22" s="6" t="n">
        <x:f>INDEX('01_ASSUMPTIONS'!$J$5:$J$39,MATCH("software_maintenance",'01_ASSUMPTIONS'!$B$5:$B$39,0))</x:f>
        <x:v>5000</x:v>
      </x:c>
      <x:c r="T22" s="6" t="n">
        <x:f>INDEX('01_ASSUMPTIONS'!$J$5:$J$39,MATCH("base_support",'01_ASSUMPTIONS'!$B$5:$B$39,0))</x:f>
        <x:v>1200</x:v>
      </x:c>
      <x:c r="U22" s="6" t="n">
        <x:f>INDEX('01_ASSUMPTIONS'!$J$5:$J$39,MATCH("admin",'01_ASSUMPTIONS'!$B$5:$B$39,0))</x:f>
        <x:v>600</x:v>
      </x:c>
      <x:c r="V22" s="6" t="n">
        <x:f>INDEX('01_ASSUMPTIONS'!$J$5:$J$39,MATCH("commercial_marketing",'01_ASSUMPTIONS'!$B$5:$B$39,0))</x:f>
        <x:v>1000</x:v>
      </x:c>
      <x:c r="W22" s="6" t="n">
        <x:f>INDEX('01_ASSUMPTIONS'!$J$5:$J$39,MATCH("other_fixed",'01_ASSUMPTIONS'!$B$5:$B$39,0))</x:f>
        <x:v>300</x:v>
      </x:c>
      <x:c r="X22" s="6" t="n">
        <x:f>SUM(R22:W22)</x:f>
        <x:v>8600</x:v>
      </x:c>
      <x:c r="Y22" s="6" t="n">
        <x:f>L22-Q22-X22</x:f>
        <x:v>-6696.818764529815</x:v>
      </x:c>
      <x:c r="Z22" s="6" t="n">
        <x:f>0</x:f>
        <x:v>0</x:v>
      </x:c>
      <x:c r="AA22" s="6" t="n">
        <x:f>Y22-Z22</x:f>
        <x:v>-6696.818764529815</x:v>
      </x:c>
      <x:c r="AB22" s="5" t="n">
        <x:f>1/(1+'01_ASSUMPTIONS'!$E$2)^A22</x:f>
        <x:v>0.6767176086019597</x:v>
      </x:c>
      <x:c r="AC22" s="6" t="n">
        <x:f>AA22*AB22</x:f>
        <x:v>-4531.8551795733465</x:v>
      </x:c>
      <x:c r="AD22" s="6" t="n">
        <x:f>AD21+AA22</x:f>
        <x:v>-179110.3805380391</x:v>
      </x:c>
      <x:c r="AE22" t="str">
        <x:f>IF(Y22&gt;=0,"Yes","No")</x:f>
        <x:v>No</x:v>
      </x:c>
      <x:c r="AF22" t="str">
        <x:f>IF(AD22&gt;=0,"Yes","No")</x:f>
        <x:v>No</x:v>
      </x:c>
    </x:row>
    <x:row r="23">
      <x:c r="A23" t="n">
        <x:f>22</x:f>
        <x:v>22</x:v>
      </x:c>
      <x:c r="B23" s="7" t="n">
        <x:f>B22*(1-INDEX('01_ASSUMPTIONS'!$J$5:$J$39,MATCH("monthly_churn",'01_ASSUMPTIONS'!$B$5:$B$39,0)))+INDEX('01_ASSUMPTIONS'!$J$5:$J$39,MATCH("starter_monthly_acquisition",'01_ASSUMPTIONS'!$B$5:$B$39,0))</x:f>
        <x:v>6.933768631032113</x:v>
      </x:c>
      <x:c r="C23" s="7" t="n">
        <x:f>C22*(1-INDEX('01_ASSUMPTIONS'!$J$5:$J$39,MATCH("monthly_churn",'01_ASSUMPTIONS'!$B$5:$B$39,0)))+INDEX('01_ASSUMPTIONS'!$J$5:$J$39,MATCH("professional_monthly_acquisition",'01_ASSUMPTIONS'!$B$5:$B$39,0))</x:f>
        <x:v>2.152975823558443</x:v>
      </x:c>
      <x:c r="D23" s="7" t="n">
        <x:f>D22*(1-INDEX('01_ASSUMPTIONS'!$J$5:$J$39,MATCH("monthly_churn",'01_ASSUMPTIONS'!$B$5:$B$39,0)))+INDEX('01_ASSUMPTIONS'!$J$5:$J$39,MATCH("enterprise_monthly_acquisition",'01_ASSUMPTIONS'!$B$5:$B$39,0))</x:f>
        <x:v>0.5382439558896107</x:v>
      </x:c>
      <x:c r="E23" s="7" t="n">
        <x:f>SUM(B23:D23)</x:f>
        <x:v>9.624988410480167</x:v>
      </x:c>
      <x:c r="F23" s="7" t="n">
        <x:f>B23*INDEX('01_ASSUMPTIONS'!$J$5:$J$39,MATCH("starter_studies_per_customer",'01_ASSUMPTIONS'!$B$5:$B$39,0))</x:f>
        <x:v>901.3899220341748</x:v>
      </x:c>
      <x:c r="G23" s="7" t="n">
        <x:f>C23*INDEX('01_ASSUMPTIONS'!$J$5:$J$39,MATCH("professional_studies_per_customer",'01_ASSUMPTIONS'!$B$5:$B$39,0))</x:f>
        <x:v>1184.1367029571436</x:v>
      </x:c>
      <x:c r="H23" s="7" t="n">
        <x:f>D23*INDEX('01_ASSUMPTIONS'!$J$5:$J$39,MATCH("enterprise_studies_per_customer",'01_ASSUMPTIONS'!$B$5:$B$39,0))</x:f>
        <x:v>861.1903294233772</x:v>
      </x:c>
      <x:c r="I23" s="7" t="n">
        <x:f>SUM(F23:H23)</x:f>
        <x:v>2946.7169544146955</x:v>
      </x:c>
      <x:c r="J23" s="6" t="n">
        <x:f>B23*INDEX('01_ASSUMPTIONS'!$J$5:$J$39,MATCH("starter_fee",'01_ASSUMPTIONS'!$B$5:$B$39,0))+C23*INDEX('01_ASSUMPTIONS'!$J$5:$J$39,MATCH("professional_fee",'01_ASSUMPTIONS'!$B$5:$B$39,0))+D23*INDEX('01_ASSUMPTIONS'!$J$5:$J$39,MATCH("enterprise_fee",'01_ASSUMPTIONS'!$B$5:$B$39,0))</x:f>
        <x:v>10027.120297816025</x:v>
      </x:c>
      <x:c r="K23" s="6" t="n">
        <x:f>MAX(F23-B23*INDEX('01_ASSUMPTIONS'!$J$5:$J$39,MATCH("starter_included_studies",'01_ASSUMPTIONS'!$B$5:$B$39,0)),0)*INDEX('01_ASSUMPTIONS'!$J$5:$J$39,MATCH("starter_overage_fee",'01_ASSUMPTIONS'!$B$5:$B$39,0))+MAX(G23-C23*INDEX('01_ASSUMPTIONS'!$J$5:$J$39,MATCH("professional_included_studies",'01_ASSUMPTIONS'!$B$5:$B$39,0)),0)*INDEX('01_ASSUMPTIONS'!$J$5:$J$39,MATCH("professional_overage_fee",'01_ASSUMPTIONS'!$B$5:$B$39,0))+MAX(H23-D23*INDEX('01_ASSUMPTIONS'!$J$5:$J$39,MATCH("enterprise_included_studies",'01_ASSUMPTIONS'!$B$5:$B$39,0)),0)*INDEX('01_ASSUMPTIONS'!$J$5:$J$39,MATCH("enterprise_overage_fee",'01_ASSUMPTIONS'!$B$5:$B$39,0))</x:f>
        <x:v>1415.8918199059472</x:v>
      </x:c>
      <x:c r="L23" s="6" t="n">
        <x:f>J23+K23</x:f>
        <x:v>11443.012117721973</x:v>
      </x:c>
      <x:c r="M23" s="6" t="n">
        <x:f>I23*INDEX('01_ASSUMPTIONS'!$J$5:$J$39,MATCH("cloud_cost_per_study",'01_ASSUMPTIONS'!$B$5:$B$39,0))</x:f>
        <x:v>4420.075431622043</x:v>
      </x:c>
      <x:c r="N23" s="6" t="n">
        <x:f>I23*INDEX('01_ASSUMPTIONS'!$J$5:$J$39,MATCH("storage_cost_per_study",'01_ASSUMPTIONS'!$B$5:$B$39,0))</x:f>
        <x:v>648.277729971233</x:v>
      </x:c>
      <x:c r="O23" s="6" t="n">
        <x:f>I23*INDEX('01_ASSUMPTIONS'!$J$5:$J$39,MATCH("ai_processing_cost_per_study",'01_ASSUMPTIONS'!$B$5:$B$39,0))</x:f>
        <x:v>3830.7320407391044</x:v>
      </x:c>
      <x:c r="P23" s="6" t="n">
        <x:f>E23*INDEX('01_ASSUMPTIONS'!$J$5:$J$39,MATCH("variable_support_per_customer",'01_ASSUMPTIONS'!$B$5:$B$39,0))</x:f>
        <x:v>577.49930462881</x:v>
      </x:c>
      <x:c r="Q23" s="6" t="n">
        <x:f>SUM(M23:P23)</x:f>
        <x:v>9476.58450696119</x:v>
      </x:c>
      <x:c r="R23" s="6" t="n">
        <x:f>INDEX('01_ASSUMPTIONS'!$J$5:$J$39,MATCH("fixed_infra",'01_ASSUMPTIONS'!$B$5:$B$39,0))</x:f>
        <x:v>500</x:v>
      </x:c>
      <x:c r="S23" s="6" t="n">
        <x:f>INDEX('01_ASSUMPTIONS'!$J$5:$J$39,MATCH("software_maintenance",'01_ASSUMPTIONS'!$B$5:$B$39,0))</x:f>
        <x:v>5000</x:v>
      </x:c>
      <x:c r="T23" s="6" t="n">
        <x:f>INDEX('01_ASSUMPTIONS'!$J$5:$J$39,MATCH("base_support",'01_ASSUMPTIONS'!$B$5:$B$39,0))</x:f>
        <x:v>1200</x:v>
      </x:c>
      <x:c r="U23" s="6" t="n">
        <x:f>INDEX('01_ASSUMPTIONS'!$J$5:$J$39,MATCH("admin",'01_ASSUMPTIONS'!$B$5:$B$39,0))</x:f>
        <x:v>600</x:v>
      </x:c>
      <x:c r="V23" s="6" t="n">
        <x:f>INDEX('01_ASSUMPTIONS'!$J$5:$J$39,MATCH("commercial_marketing",'01_ASSUMPTIONS'!$B$5:$B$39,0))</x:f>
        <x:v>1000</x:v>
      </x:c>
      <x:c r="W23" s="6" t="n">
        <x:f>INDEX('01_ASSUMPTIONS'!$J$5:$J$39,MATCH("other_fixed",'01_ASSUMPTIONS'!$B$5:$B$39,0))</x:f>
        <x:v>300</x:v>
      </x:c>
      <x:c r="X23" s="6" t="n">
        <x:f>SUM(R23:W23)</x:f>
        <x:v>8600</x:v>
      </x:c>
      <x:c r="Y23" s="6" t="n">
        <x:f>L23-Q23-X23</x:f>
        <x:v>-6633.572389239216</x:v>
      </x:c>
      <x:c r="Z23" s="6" t="n">
        <x:f>0</x:f>
        <x:v>0</x:v>
      </x:c>
      <x:c r="AA23" s="6" t="n">
        <x:f>Y23-Z23</x:f>
        <x:v>-6633.572389239216</x:v>
      </x:c>
      <x:c r="AB23" s="5" t="n">
        <x:f>1/(1+'01_ASSUMPTIONS'!$E$2)^A23</x:f>
        <x:v>0.6642501219559753</x:v>
      </x:c>
      <x:c r="AC23" s="6" t="n">
        <x:f>AA23*AB23</x:f>
        <x:v>-4406.35126855594</x:v>
      </x:c>
      <x:c r="AD23" s="6" t="n">
        <x:f>AD22+AA23</x:f>
        <x:v>-185743.95292727833</x:v>
      </x:c>
      <x:c r="AE23" t="str">
        <x:f>IF(Y23&gt;=0,"Yes","No")</x:f>
        <x:v>No</x:v>
      </x:c>
      <x:c r="AF23" t="str">
        <x:f>IF(AD23&gt;=0,"Yes","No")</x:f>
        <x:v>No</x:v>
      </x:c>
    </x:row>
    <x:row r="24">
      <x:c r="A24" t="n">
        <x:f>23</x:f>
        <x:v>23</x:v>
      </x:c>
      <x:c r="B24" s="7" t="n">
        <x:f>B23*(1-INDEX('01_ASSUMPTIONS'!$J$5:$J$39,MATCH("monthly_churn",'01_ASSUMPTIONS'!$B$5:$B$39,0)))+INDEX('01_ASSUMPTIONS'!$J$5:$J$39,MATCH("starter_monthly_acquisition",'01_ASSUMPTIONS'!$B$5:$B$39,0))</x:f>
        <x:v>7.145093258411471</x:v>
      </x:c>
      <x:c r="C24" s="7" t="n">
        <x:f>C23*(1-INDEX('01_ASSUMPTIONS'!$J$5:$J$39,MATCH("monthly_churn",'01_ASSUMPTIONS'!$B$5:$B$39,0)))+INDEX('01_ASSUMPTIONS'!$J$5:$J$39,MATCH("professional_monthly_acquisition",'01_ASSUMPTIONS'!$B$5:$B$39,0))</x:f>
        <x:v>2.229916307087274</x:v>
      </x:c>
      <x:c r="D24" s="7" t="n">
        <x:f>D23*(1-INDEX('01_ASSUMPTIONS'!$J$5:$J$39,MATCH("monthly_churn",'01_ASSUMPTIONS'!$B$5:$B$39,0)))+INDEX('01_ASSUMPTIONS'!$J$5:$J$39,MATCH("enterprise_monthly_acquisition",'01_ASSUMPTIONS'!$B$5:$B$39,0))</x:f>
        <x:v>0.5574790767718185</x:v>
      </x:c>
      <x:c r="E24" s="7" t="n">
        <x:f>SUM(B24:D24)</x:f>
        <x:v>9.932488642270563</x:v>
      </x:c>
      <x:c r="F24" s="7" t="n">
        <x:f>B24*INDEX('01_ASSUMPTIONS'!$J$5:$J$39,MATCH("starter_studies_per_customer",'01_ASSUMPTIONS'!$B$5:$B$39,0))</x:f>
        <x:v>928.8621235934912</x:v>
      </x:c>
      <x:c r="G24" s="7" t="n">
        <x:f>C24*INDEX('01_ASSUMPTIONS'!$J$5:$J$39,MATCH("professional_studies_per_customer",'01_ASSUMPTIONS'!$B$5:$B$39,0))</x:f>
        <x:v>1226.4539688980008</x:v>
      </x:c>
      <x:c r="H24" s="7" t="n">
        <x:f>D24*INDEX('01_ASSUMPTIONS'!$J$5:$J$39,MATCH("enterprise_studies_per_customer",'01_ASSUMPTIONS'!$B$5:$B$39,0))</x:f>
        <x:v>891.9665228349096</x:v>
      </x:c>
      <x:c r="I24" s="7" t="n">
        <x:f>SUM(F24:H24)</x:f>
        <x:v>3047.2826153264014</x:v>
      </x:c>
      <x:c r="J24" s="6" t="n">
        <x:f>B24*INDEX('01_ASSUMPTIONS'!$J$5:$J$39,MATCH("starter_fee",'01_ASSUMPTIONS'!$B$5:$B$39,0))+C24*INDEX('01_ASSUMPTIONS'!$J$5:$J$39,MATCH("professional_fee",'01_ASSUMPTIONS'!$B$5:$B$39,0))+D24*INDEX('01_ASSUMPTIONS'!$J$5:$J$39,MATCH("enterprise_fee",'01_ASSUMPTIONS'!$B$5:$B$39,0))</x:f>
        <x:v>10363.577891859704</x:v>
      </x:c>
      <x:c r="K24" s="6" t="n">
        <x:f>MAX(F24-B24*INDEX('01_ASSUMPTIONS'!$J$5:$J$39,MATCH("starter_included_studies",'01_ASSUMPTIONS'!$B$5:$B$39,0)),0)*INDEX('01_ASSUMPTIONS'!$J$5:$J$39,MATCH("starter_overage_fee",'01_ASSUMPTIONS'!$B$5:$B$39,0))+MAX(G24-C24*INDEX('01_ASSUMPTIONS'!$J$5:$J$39,MATCH("professional_included_studies",'01_ASSUMPTIONS'!$B$5:$B$39,0)),0)*INDEX('01_ASSUMPTIONS'!$J$5:$J$39,MATCH("professional_overage_fee",'01_ASSUMPTIONS'!$B$5:$B$39,0))+MAX(H24-D24*INDEX('01_ASSUMPTIONS'!$J$5:$J$39,MATCH("enterprise_included_studies",'01_ASSUMPTIONS'!$B$5:$B$39,0)),0)*INDEX('01_ASSUMPTIONS'!$J$5:$J$39,MATCH("enterprise_overage_fee",'01_ASSUMPTIONS'!$B$5:$B$39,0))</x:f>
        <x:v>1463.5739835078266</x:v>
      </x:c>
      <x:c r="L24" s="6" t="n">
        <x:f>J24+K24</x:f>
        <x:v>11827.15187536753</x:v>
      </x:c>
      <x:c r="M24" s="6" t="n">
        <x:f>I24*INDEX('01_ASSUMPTIONS'!$J$5:$J$39,MATCH("cloud_cost_per_study",'01_ASSUMPTIONS'!$B$5:$B$39,0))</x:f>
        <x:v>4570.923922989602</x:v>
      </x:c>
      <x:c r="N24" s="6" t="n">
        <x:f>I24*INDEX('01_ASSUMPTIONS'!$J$5:$J$39,MATCH("storage_cost_per_study",'01_ASSUMPTIONS'!$B$5:$B$39,0))</x:f>
        <x:v>670.4021753718083</x:v>
      </x:c>
      <x:c r="O24" s="6" t="n">
        <x:f>I24*INDEX('01_ASSUMPTIONS'!$J$5:$J$39,MATCH("ai_processing_cost_per_study",'01_ASSUMPTIONS'!$B$5:$B$39,0))</x:f>
        <x:v>3961.467399924322</x:v>
      </x:c>
      <x:c r="P24" s="6" t="n">
        <x:f>E24*INDEX('01_ASSUMPTIONS'!$J$5:$J$39,MATCH("variable_support_per_customer",'01_ASSUMPTIONS'!$B$5:$B$39,0))</x:f>
        <x:v>595.9493185362338</x:v>
      </x:c>
      <x:c r="Q24" s="6" t="n">
        <x:f>SUM(M24:P24)</x:f>
        <x:v>9798.742816821965</x:v>
      </x:c>
      <x:c r="R24" s="6" t="n">
        <x:f>INDEX('01_ASSUMPTIONS'!$J$5:$J$39,MATCH("fixed_infra",'01_ASSUMPTIONS'!$B$5:$B$39,0))</x:f>
        <x:v>500</x:v>
      </x:c>
      <x:c r="S24" s="6" t="n">
        <x:f>INDEX('01_ASSUMPTIONS'!$J$5:$J$39,MATCH("software_maintenance",'01_ASSUMPTIONS'!$B$5:$B$39,0))</x:f>
        <x:v>5000</x:v>
      </x:c>
      <x:c r="T24" s="6" t="n">
        <x:f>INDEX('01_ASSUMPTIONS'!$J$5:$J$39,MATCH("base_support",'01_ASSUMPTIONS'!$B$5:$B$39,0))</x:f>
        <x:v>1200</x:v>
      </x:c>
      <x:c r="U24" s="6" t="n">
        <x:f>INDEX('01_ASSUMPTIONS'!$J$5:$J$39,MATCH("admin",'01_ASSUMPTIONS'!$B$5:$B$39,0))</x:f>
        <x:v>600</x:v>
      </x:c>
      <x:c r="V24" s="6" t="n">
        <x:f>INDEX('01_ASSUMPTIONS'!$J$5:$J$39,MATCH("commercial_marketing",'01_ASSUMPTIONS'!$B$5:$B$39,0))</x:f>
        <x:v>1000</x:v>
      </x:c>
      <x:c r="W24" s="6" t="n">
        <x:f>INDEX('01_ASSUMPTIONS'!$J$5:$J$39,MATCH("other_fixed",'01_ASSUMPTIONS'!$B$5:$B$39,0))</x:f>
        <x:v>300</x:v>
      </x:c>
      <x:c r="X24" s="6" t="n">
        <x:f>SUM(R24:W24)</x:f>
        <x:v>8600</x:v>
      </x:c>
      <x:c r="Y24" s="6" t="n">
        <x:f>L24-Q24-X24</x:f>
        <x:v>-6571.590941454435</x:v>
      </x:c>
      <x:c r="Z24" s="6" t="n">
        <x:f>0</x:f>
        <x:v>0</x:v>
      </x:c>
      <x:c r="AA24" s="6" t="n">
        <x:f>Y24-Z24</x:f>
        <x:v>-6571.590941454435</x:v>
      </x:c>
      <x:c r="AB24" s="5" t="n">
        <x:f>1/(1+'01_ASSUMPTIONS'!$E$2)^A24</x:f>
        <x:v>0.6520123296777625</x:v>
      </x:c>
      <x:c r="AC24" s="6" t="n">
        <x:f>AA24*AB24</x:f>
        <x:v>-4284.758319426986</x:v>
      </x:c>
      <x:c r="AD24" s="6" t="n">
        <x:f>AD23+AA24</x:f>
        <x:v>-192315.54386873276</x:v>
      </x:c>
      <x:c r="AE24" t="str">
        <x:f>IF(Y24&gt;=0,"Yes","No")</x:f>
        <x:v>No</x:v>
      </x:c>
      <x:c r="AF24" t="str">
        <x:f>IF(AD24&gt;=0,"Yes","No")</x:f>
        <x:v>No</x:v>
      </x:c>
    </x:row>
    <x:row r="25">
      <x:c r="A25" t="n">
        <x:f>24</x:f>
        <x:v>24</x:v>
      </x:c>
      <x:c r="B25" s="7" t="n">
        <x:f>B24*(1-INDEX('01_ASSUMPTIONS'!$J$5:$J$39,MATCH("monthly_churn",'01_ASSUMPTIONS'!$B$5:$B$39,0)))+INDEX('01_ASSUMPTIONS'!$J$5:$J$39,MATCH("starter_monthly_acquisition",'01_ASSUMPTIONS'!$B$5:$B$39,0))</x:f>
        <x:v>7.352191393243241</x:v>
      </x:c>
      <x:c r="C25" s="7" t="n">
        <x:f>C24*(1-INDEX('01_ASSUMPTIONS'!$J$5:$J$39,MATCH("monthly_churn",'01_ASSUMPTIONS'!$B$5:$B$39,0)))+INDEX('01_ASSUMPTIONS'!$J$5:$J$39,MATCH("professional_monthly_acquisition",'01_ASSUMPTIONS'!$B$5:$B$39,0))</x:f>
        <x:v>2.305317980945529</x:v>
      </x:c>
      <x:c r="D25" s="7" t="n">
        <x:f>D24*(1-INDEX('01_ASSUMPTIONS'!$J$5:$J$39,MATCH("monthly_churn",'01_ASSUMPTIONS'!$B$5:$B$39,0)))+INDEX('01_ASSUMPTIONS'!$J$5:$J$39,MATCH("enterprise_monthly_acquisition",'01_ASSUMPTIONS'!$B$5:$B$39,0))</x:f>
        <x:v>0.5763294952363822</x:v>
      </x:c>
      <x:c r="E25" s="7" t="n">
        <x:f>SUM(B25:D25)</x:f>
        <x:v>10.233838869425153</x:v>
      </x:c>
      <x:c r="F25" s="7" t="n">
        <x:f>B25*INDEX('01_ASSUMPTIONS'!$J$5:$J$39,MATCH("starter_studies_per_customer",'01_ASSUMPTIONS'!$B$5:$B$39,0))</x:f>
        <x:v>955.7848811216213</x:v>
      </x:c>
      <x:c r="G25" s="7" t="n">
        <x:f>C25*INDEX('01_ASSUMPTIONS'!$J$5:$J$39,MATCH("professional_studies_per_customer",'01_ASSUMPTIONS'!$B$5:$B$39,0))</x:f>
        <x:v>1267.9248895200408</x:v>
      </x:c>
      <x:c r="H25" s="7" t="n">
        <x:f>D25*INDEX('01_ASSUMPTIONS'!$J$5:$J$39,MATCH("enterprise_studies_per_customer",'01_ASSUMPTIONS'!$B$5:$B$39,0))</x:f>
        <x:v>922.1271923782116</x:v>
      </x:c>
      <x:c r="I25" s="7" t="n">
        <x:f>SUM(F25:H25)</x:f>
        <x:v>3145.8369630198736</x:v>
      </x:c>
      <x:c r="J25" s="6" t="n">
        <x:f>B25*INDEX('01_ASSUMPTIONS'!$J$5:$J$39,MATCH("starter_fee",'01_ASSUMPTIONS'!$B$5:$B$39,0))+C25*INDEX('01_ASSUMPTIONS'!$J$5:$J$39,MATCH("professional_fee",'01_ASSUMPTIONS'!$B$5:$B$39,0))+D25*INDEX('01_ASSUMPTIONS'!$J$5:$J$39,MATCH("enterprise_fee",'01_ASSUMPTIONS'!$B$5:$B$39,0))</x:f>
        <x:v>10693.30633402251</x:v>
      </x:c>
      <x:c r="K25" s="6" t="n">
        <x:f>MAX(F25-B25*INDEX('01_ASSUMPTIONS'!$J$5:$J$39,MATCH("starter_included_studies",'01_ASSUMPTIONS'!$B$5:$B$39,0)),0)*INDEX('01_ASSUMPTIONS'!$J$5:$J$39,MATCH("starter_overage_fee",'01_ASSUMPTIONS'!$B$5:$B$39,0))+MAX(G25-C25*INDEX('01_ASSUMPTIONS'!$J$5:$J$39,MATCH("professional_included_studies",'01_ASSUMPTIONS'!$B$5:$B$39,0)),0)*INDEX('01_ASSUMPTIONS'!$J$5:$J$39,MATCH("professional_overage_fee",'01_ASSUMPTIONS'!$B$5:$B$39,0))+MAX(H25-D25*INDEX('01_ASSUMPTIONS'!$J$5:$J$39,MATCH("enterprise_included_studies",'01_ASSUMPTIONS'!$B$5:$B$39,0)),0)*INDEX('01_ASSUMPTIONS'!$J$5:$J$39,MATCH("enterprise_overage_fee",'01_ASSUMPTIONS'!$B$5:$B$39,0))</x:f>
        <x:v>1510.3025038376709</x:v>
      </x:c>
      <x:c r="L25" s="6" t="n">
        <x:f>J25+K25</x:f>
        <x:v>12203.608837860182</x:v>
      </x:c>
      <x:c r="M25" s="6" t="n">
        <x:f>I25*INDEX('01_ASSUMPTIONS'!$J$5:$J$39,MATCH("cloud_cost_per_study",'01_ASSUMPTIONS'!$B$5:$B$39,0))</x:f>
        <x:v>4718.75544452981</x:v>
      </x:c>
      <x:c r="N25" s="6" t="n">
        <x:f>I25*INDEX('01_ASSUMPTIONS'!$J$5:$J$39,MATCH("storage_cost_per_study",'01_ASSUMPTIONS'!$B$5:$B$39,0))</x:f>
        <x:v>692.0841318643722</x:v>
      </x:c>
      <x:c r="O25" s="6" t="n">
        <x:f>I25*INDEX('01_ASSUMPTIONS'!$J$5:$J$39,MATCH("ai_processing_cost_per_study",'01_ASSUMPTIONS'!$B$5:$B$39,0))</x:f>
        <x:v>4089.5880519258358</x:v>
      </x:c>
      <x:c r="P25" s="6" t="n">
        <x:f>E25*INDEX('01_ASSUMPTIONS'!$J$5:$J$39,MATCH("variable_support_per_customer",'01_ASSUMPTIONS'!$B$5:$B$39,0))</x:f>
        <x:v>614.0303321655092</x:v>
      </x:c>
      <x:c r="Q25" s="6" t="n">
        <x:f>SUM(M25:P25)</x:f>
        <x:v>10114.457960485528</x:v>
      </x:c>
      <x:c r="R25" s="6" t="n">
        <x:f>INDEX('01_ASSUMPTIONS'!$J$5:$J$39,MATCH("fixed_infra",'01_ASSUMPTIONS'!$B$5:$B$39,0))</x:f>
        <x:v>500</x:v>
      </x:c>
      <x:c r="S25" s="6" t="n">
        <x:f>INDEX('01_ASSUMPTIONS'!$J$5:$J$39,MATCH("software_maintenance",'01_ASSUMPTIONS'!$B$5:$B$39,0))</x:f>
        <x:v>5000</x:v>
      </x:c>
      <x:c r="T25" s="6" t="n">
        <x:f>INDEX('01_ASSUMPTIONS'!$J$5:$J$39,MATCH("base_support",'01_ASSUMPTIONS'!$B$5:$B$39,0))</x:f>
        <x:v>1200</x:v>
      </x:c>
      <x:c r="U25" s="6" t="n">
        <x:f>INDEX('01_ASSUMPTIONS'!$J$5:$J$39,MATCH("admin",'01_ASSUMPTIONS'!$B$5:$B$39,0))</x:f>
        <x:v>600</x:v>
      </x:c>
      <x:c r="V25" s="6" t="n">
        <x:f>INDEX('01_ASSUMPTIONS'!$J$5:$J$39,MATCH("commercial_marketing",'01_ASSUMPTIONS'!$B$5:$B$39,0))</x:f>
        <x:v>1000</x:v>
      </x:c>
      <x:c r="W25" s="6" t="n">
        <x:f>INDEX('01_ASSUMPTIONS'!$J$5:$J$39,MATCH("other_fixed",'01_ASSUMPTIONS'!$B$5:$B$39,0))</x:f>
        <x:v>300</x:v>
      </x:c>
      <x:c r="X25" s="6" t="n">
        <x:f>SUM(R25:W25)</x:f>
        <x:v>8600</x:v>
      </x:c>
      <x:c r="Y25" s="6" t="n">
        <x:f>L25-Q25-X25</x:f>
        <x:v>-6510.849122625346</x:v>
      </x:c>
      <x:c r="Z25" s="6" t="n">
        <x:f>0</x:f>
        <x:v>0</x:v>
      </x:c>
      <x:c r="AA25" s="6" t="n">
        <x:f>Y25-Z25</x:f>
        <x:v>-6510.849122625346</x:v>
      </x:c>
      <x:c r="AB25" s="5" t="n">
        <x:f>1/(1+'01_ASSUMPTIONS'!$E$2)^A25</x:f>
        <x:v>0.6399999999999987</x:v>
      </x:c>
      <x:c r="AC25" s="6" t="n">
        <x:f>AA25*AB25</x:f>
        <x:v>-4166.943438480213</x:v>
      </x:c>
      <x:c r="AD25" s="6" t="n">
        <x:f>AD24+AA25</x:f>
        <x:v>-198826.3929913581</x:v>
      </x:c>
      <x:c r="AE25" t="str">
        <x:f>IF(Y25&gt;=0,"Yes","No")</x:f>
        <x:v>No</x:v>
      </x:c>
      <x:c r="AF25" t="str">
        <x:f>IF(AD25&gt;=0,"Yes","No")</x:f>
        <x:v>No</x:v>
      </x:c>
    </x:row>
    <x:row r="26">
      <x:c r="A26" t="n">
        <x:f>25</x:f>
        <x:v>25</x:v>
      </x:c>
      <x:c r="B26" s="7" t="n">
        <x:f>B25*(1-INDEX('01_ASSUMPTIONS'!$J$5:$J$39,MATCH("monthly_churn",'01_ASSUMPTIONS'!$B$5:$B$39,0)))+INDEX('01_ASSUMPTIONS'!$J$5:$J$39,MATCH("starter_monthly_acquisition",'01_ASSUMPTIONS'!$B$5:$B$39,0))</x:f>
        <x:v>7.555147565378376</x:v>
      </x:c>
      <x:c r="C26" s="7" t="n">
        <x:f>C25*(1-INDEX('01_ASSUMPTIONS'!$J$5:$J$39,MATCH("monthly_churn",'01_ASSUMPTIONS'!$B$5:$B$39,0)))+INDEX('01_ASSUMPTIONS'!$J$5:$J$39,MATCH("professional_monthly_acquisition",'01_ASSUMPTIONS'!$B$5:$B$39,0))</x:f>
        <x:v>2.3792116213266183</x:v>
      </x:c>
      <x:c r="D26" s="7" t="n">
        <x:f>D25*(1-INDEX('01_ASSUMPTIONS'!$J$5:$J$39,MATCH("monthly_churn",'01_ASSUMPTIONS'!$B$5:$B$39,0)))+INDEX('01_ASSUMPTIONS'!$J$5:$J$39,MATCH("enterprise_monthly_acquisition",'01_ASSUMPTIONS'!$B$5:$B$39,0))</x:f>
        <x:v>0.5948029053316546</x:v>
      </x:c>
      <x:c r="E26" s="7" t="n">
        <x:f>SUM(B26:D26)</x:f>
        <x:v>10.52916209203665</x:v>
      </x:c>
      <x:c r="F26" s="7" t="n">
        <x:f>B26*INDEX('01_ASSUMPTIONS'!$J$5:$J$39,MATCH("starter_studies_per_customer",'01_ASSUMPTIONS'!$B$5:$B$39,0))</x:f>
        <x:v>982.1691834991889</x:v>
      </x:c>
      <x:c r="G26" s="7" t="n">
        <x:f>C26*INDEX('01_ASSUMPTIONS'!$J$5:$J$39,MATCH("professional_studies_per_customer",'01_ASSUMPTIONS'!$B$5:$B$39,0))</x:f>
        <x:v>1308.5663917296401</x:v>
      </x:c>
      <x:c r="H26" s="7" t="n">
        <x:f>D26*INDEX('01_ASSUMPTIONS'!$J$5:$J$39,MATCH("enterprise_studies_per_customer",'01_ASSUMPTIONS'!$B$5:$B$39,0))</x:f>
        <x:v>951.6846485306473</x:v>
      </x:c>
      <x:c r="I26" s="7" t="n">
        <x:f>SUM(F26:H26)</x:f>
        <x:v>3242.4202237594764</x:v>
      </x:c>
      <x:c r="J26" s="6" t="n">
        <x:f>B26*INDEX('01_ASSUMPTIONS'!$J$5:$J$39,MATCH("starter_fee",'01_ASSUMPTIONS'!$B$5:$B$39,0))+C26*INDEX('01_ASSUMPTIONS'!$J$5:$J$39,MATCH("professional_fee",'01_ASSUMPTIONS'!$B$5:$B$39,0))+D26*INDEX('01_ASSUMPTIONS'!$J$5:$J$39,MATCH("enterprise_fee",'01_ASSUMPTIONS'!$B$5:$B$39,0))</x:f>
        <x:v>11016.44020734206</x:v>
      </x:c>
      <x:c r="K26" s="6" t="n">
        <x:f>MAX(F26-B26*INDEX('01_ASSUMPTIONS'!$J$5:$J$39,MATCH("starter_included_studies",'01_ASSUMPTIONS'!$B$5:$B$39,0)),0)*INDEX('01_ASSUMPTIONS'!$J$5:$J$39,MATCH("starter_overage_fee",'01_ASSUMPTIONS'!$B$5:$B$39,0))+MAX(G26-C26*INDEX('01_ASSUMPTIONS'!$J$5:$J$39,MATCH("professional_included_studies",'01_ASSUMPTIONS'!$B$5:$B$39,0)),0)*INDEX('01_ASSUMPTIONS'!$J$5:$J$39,MATCH("professional_overage_fee",'01_ASSUMPTIONS'!$B$5:$B$39,0))+MAX(H26-D26*INDEX('01_ASSUMPTIONS'!$J$5:$J$39,MATCH("enterprise_included_studies",'01_ASSUMPTIONS'!$B$5:$B$39,0)),0)*INDEX('01_ASSUMPTIONS'!$J$5:$J$39,MATCH("enterprise_overage_fee",'01_ASSUMPTIONS'!$B$5:$B$39,0))</x:f>
        <x:v>1556.0964537609184</x:v>
      </x:c>
      <x:c r="L26" s="6" t="n">
        <x:f>J26+K26</x:f>
        <x:v>12572.536661102979</x:v>
      </x:c>
      <x:c r="M26" s="6" t="n">
        <x:f>I26*INDEX('01_ASSUMPTIONS'!$J$5:$J$39,MATCH("cloud_cost_per_study",'01_ASSUMPTIONS'!$B$5:$B$39,0))</x:f>
        <x:v>4863.6303356392145</x:v>
      </x:c>
      <x:c r="N26" s="6" t="n">
        <x:f>I26*INDEX('01_ASSUMPTIONS'!$J$5:$J$39,MATCH("storage_cost_per_study",'01_ASSUMPTIONS'!$B$5:$B$39,0))</x:f>
        <x:v>713.3324492270848</x:v>
      </x:c>
      <x:c r="O26" s="6" t="n">
        <x:f>I26*INDEX('01_ASSUMPTIONS'!$J$5:$J$39,MATCH("ai_processing_cost_per_study",'01_ASSUMPTIONS'!$B$5:$B$39,0))</x:f>
        <x:v>4215.146290887319</x:v>
      </x:c>
      <x:c r="P26" s="6" t="n">
        <x:f>E26*INDEX('01_ASSUMPTIONS'!$J$5:$J$39,MATCH("variable_support_per_customer",'01_ASSUMPTIONS'!$B$5:$B$39,0))</x:f>
        <x:v>631.749725522199</x:v>
      </x:c>
      <x:c r="Q26" s="6" t="n">
        <x:f>SUM(M26:P26)</x:f>
        <x:v>10423.858801275817</x:v>
      </x:c>
      <x:c r="R26" s="6" t="n">
        <x:f>INDEX('01_ASSUMPTIONS'!$J$5:$J$39,MATCH("fixed_infra",'01_ASSUMPTIONS'!$B$5:$B$39,0))</x:f>
        <x:v>500</x:v>
      </x:c>
      <x:c r="S26" s="6" t="n">
        <x:f>INDEX('01_ASSUMPTIONS'!$J$5:$J$39,MATCH("software_maintenance",'01_ASSUMPTIONS'!$B$5:$B$39,0))</x:f>
        <x:v>5000</x:v>
      </x:c>
      <x:c r="T26" s="6" t="n">
        <x:f>INDEX('01_ASSUMPTIONS'!$J$5:$J$39,MATCH("base_support",'01_ASSUMPTIONS'!$B$5:$B$39,0))</x:f>
        <x:v>1200</x:v>
      </x:c>
      <x:c r="U26" s="6" t="n">
        <x:f>INDEX('01_ASSUMPTIONS'!$J$5:$J$39,MATCH("admin",'01_ASSUMPTIONS'!$B$5:$B$39,0))</x:f>
        <x:v>600</x:v>
      </x:c>
      <x:c r="V26" s="6" t="n">
        <x:f>INDEX('01_ASSUMPTIONS'!$J$5:$J$39,MATCH("commercial_marketing",'01_ASSUMPTIONS'!$B$5:$B$39,0))</x:f>
        <x:v>1000</x:v>
      </x:c>
      <x:c r="W26" s="6" t="n">
        <x:f>INDEX('01_ASSUMPTIONS'!$J$5:$J$39,MATCH("other_fixed",'01_ASSUMPTIONS'!$B$5:$B$39,0))</x:f>
        <x:v>300</x:v>
      </x:c>
      <x:c r="X26" s="6" t="n">
        <x:f>SUM(R26:W26)</x:f>
        <x:v>8600</x:v>
      </x:c>
      <x:c r="Y26" s="6" t="n">
        <x:f>L26-Q26-X26</x:f>
        <x:v>-6451.322140172839</x:v>
      </x:c>
      <x:c r="Z26" s="6" t="n">
        <x:f>0</x:f>
        <x:v>0</x:v>
      </x:c>
      <x:c r="AA26" s="6" t="n">
        <x:f>Y26-Z26</x:f>
        <x:v>-6451.322140172839</x:v>
      </x:c>
      <x:c r="AB26" s="5" t="n">
        <x:f>1/(1+'01_ASSUMPTIONS'!$E$2)^A26</x:f>
        <x:v>0.6282089791191997</x:v>
      </x:c>
      <x:c r="AC26" s="6" t="n">
        <x:f>AA26*AB26</x:f>
        <x:v>-4052.7784956470696</x:v>
      </x:c>
      <x:c r="AD26" s="6" t="n">
        <x:f>AD25+AA26</x:f>
        <x:v>-205277.71513153095</x:v>
      </x:c>
      <x:c r="AE26" t="str">
        <x:f>IF(Y26&gt;=0,"Yes","No")</x:f>
        <x:v>No</x:v>
      </x:c>
      <x:c r="AF26" t="str">
        <x:f>IF(AD26&gt;=0,"Yes","No")</x:f>
        <x:v>No</x:v>
      </x:c>
    </x:row>
    <x:row r="27">
      <x:c r="A27" t="n">
        <x:f>26</x:f>
        <x:v>26</x:v>
      </x:c>
      <x:c r="B27" s="7" t="n">
        <x:f>B26*(1-INDEX('01_ASSUMPTIONS'!$J$5:$J$39,MATCH("monthly_churn",'01_ASSUMPTIONS'!$B$5:$B$39,0)))+INDEX('01_ASSUMPTIONS'!$J$5:$J$39,MATCH("starter_monthly_acquisition",'01_ASSUMPTIONS'!$B$5:$B$39,0))</x:f>
        <x:v>7.754044614070808</x:v>
      </x:c>
      <x:c r="C27" s="7" t="n">
        <x:f>C26*(1-INDEX('01_ASSUMPTIONS'!$J$5:$J$39,MATCH("monthly_churn",'01_ASSUMPTIONS'!$B$5:$B$39,0)))+INDEX('01_ASSUMPTIONS'!$J$5:$J$39,MATCH("professional_monthly_acquisition",'01_ASSUMPTIONS'!$B$5:$B$39,0))</x:f>
        <x:v>2.451627388900086</x:v>
      </x:c>
      <x:c r="D27" s="7" t="n">
        <x:f>D26*(1-INDEX('01_ASSUMPTIONS'!$J$5:$J$39,MATCH("monthly_churn",'01_ASSUMPTIONS'!$B$5:$B$39,0)))+INDEX('01_ASSUMPTIONS'!$J$5:$J$39,MATCH("enterprise_monthly_acquisition",'01_ASSUMPTIONS'!$B$5:$B$39,0))</x:f>
        <x:v>0.6129068472250215</x:v>
      </x:c>
      <x:c r="E27" s="7" t="n">
        <x:f>SUM(B27:D27)</x:f>
        <x:v>10.818578850195916</x:v>
      </x:c>
      <x:c r="F27" s="7" t="n">
        <x:f>B27*INDEX('01_ASSUMPTIONS'!$J$5:$J$39,MATCH("starter_studies_per_customer",'01_ASSUMPTIONS'!$B$5:$B$39,0))</x:f>
        <x:v>1008.0257998292051</x:v>
      </x:c>
      <x:c r="G27" s="7" t="n">
        <x:f>C27*INDEX('01_ASSUMPTIONS'!$J$5:$J$39,MATCH("professional_studies_per_customer",'01_ASSUMPTIONS'!$B$5:$B$39,0))</x:f>
        <x:v>1348.3950638950473</x:v>
      </x:c>
      <x:c r="H27" s="7" t="n">
        <x:f>D27*INDEX('01_ASSUMPTIONS'!$J$5:$J$39,MATCH("enterprise_studies_per_customer",'01_ASSUMPTIONS'!$B$5:$B$39,0))</x:f>
        <x:v>980.6509555600345</x:v>
      </x:c>
      <x:c r="I27" s="7" t="n">
        <x:f>SUM(F27:H27)</x:f>
        <x:v>3337.071819284287</x:v>
      </x:c>
      <x:c r="J27" s="6" t="n">
        <x:f>B27*INDEX('01_ASSUMPTIONS'!$J$5:$J$39,MATCH("starter_fee",'01_ASSUMPTIONS'!$B$5:$B$39,0))+C27*INDEX('01_ASSUMPTIONS'!$J$5:$J$39,MATCH("professional_fee",'01_ASSUMPTIONS'!$B$5:$B$39,0))+D27*INDEX('01_ASSUMPTIONS'!$J$5:$J$39,MATCH("enterprise_fee",'01_ASSUMPTIONS'!$B$5:$B$39,0))</x:f>
        <x:v>11333.11140319522</x:v>
      </x:c>
      <x:c r="K27" s="6" t="n">
        <x:f>MAX(F27-B27*INDEX('01_ASSUMPTIONS'!$J$5:$J$39,MATCH("starter_included_studies",'01_ASSUMPTIONS'!$B$5:$B$39,0)),0)*INDEX('01_ASSUMPTIONS'!$J$5:$J$39,MATCH("starter_overage_fee",'01_ASSUMPTIONS'!$B$5:$B$39,0))+MAX(G27-C27*INDEX('01_ASSUMPTIONS'!$J$5:$J$39,MATCH("professional_included_studies",'01_ASSUMPTIONS'!$B$5:$B$39,0)),0)*INDEX('01_ASSUMPTIONS'!$J$5:$J$39,MATCH("professional_overage_fee",'01_ASSUMPTIONS'!$B$5:$B$39,0))+MAX(H27-D27*INDEX('01_ASSUMPTIONS'!$J$5:$J$39,MATCH("enterprise_included_studies",'01_ASSUMPTIONS'!$B$5:$B$39,0)),0)*INDEX('01_ASSUMPTIONS'!$J$5:$J$39,MATCH("enterprise_overage_fee",'01_ASSUMPTIONS'!$B$5:$B$39,0))</x:f>
        <x:v>1600.9745246856987</x:v>
      </x:c>
      <x:c r="L27" s="6" t="n">
        <x:f>J27+K27</x:f>
        <x:v>12934.085927880918</x:v>
      </x:c>
      <x:c r="M27" s="6" t="n">
        <x:f>I27*INDEX('01_ASSUMPTIONS'!$J$5:$J$39,MATCH("cloud_cost_per_study",'01_ASSUMPTIONS'!$B$5:$B$39,0))</x:f>
        <x:v>5005.60772892643</x:v>
      </x:c>
      <x:c r="N27" s="6" t="n">
        <x:f>I27*INDEX('01_ASSUMPTIONS'!$J$5:$J$39,MATCH("storage_cost_per_study",'01_ASSUMPTIONS'!$B$5:$B$39,0))</x:f>
        <x:v>734.1558002425431</x:v>
      </x:c>
      <x:c r="O27" s="6" t="n">
        <x:f>I27*INDEX('01_ASSUMPTIONS'!$J$5:$J$39,MATCH("ai_processing_cost_per_study",'01_ASSUMPTIONS'!$B$5:$B$39,0))</x:f>
        <x:v>4338.193365069573</x:v>
      </x:c>
      <x:c r="P27" s="6" t="n">
        <x:f>E27*INDEX('01_ASSUMPTIONS'!$J$5:$J$39,MATCH("variable_support_per_customer",'01_ASSUMPTIONS'!$B$5:$B$39,0))</x:f>
        <x:v>649.114731011755</x:v>
      </x:c>
      <x:c r="Q27" s="6" t="n">
        <x:f>SUM(M27:P27)</x:f>
        <x:v>10727.0716252503</x:v>
      </x:c>
      <x:c r="R27" s="6" t="n">
        <x:f>INDEX('01_ASSUMPTIONS'!$J$5:$J$39,MATCH("fixed_infra",'01_ASSUMPTIONS'!$B$5:$B$39,0))</x:f>
        <x:v>500</x:v>
      </x:c>
      <x:c r="S27" s="6" t="n">
        <x:f>INDEX('01_ASSUMPTIONS'!$J$5:$J$39,MATCH("software_maintenance",'01_ASSUMPTIONS'!$B$5:$B$39,0))</x:f>
        <x:v>5000</x:v>
      </x:c>
      <x:c r="T27" s="6" t="n">
        <x:f>INDEX('01_ASSUMPTIONS'!$J$5:$J$39,MATCH("base_support",'01_ASSUMPTIONS'!$B$5:$B$39,0))</x:f>
        <x:v>1200</x:v>
      </x:c>
      <x:c r="U27" s="6" t="n">
        <x:f>INDEX('01_ASSUMPTIONS'!$J$5:$J$39,MATCH("admin",'01_ASSUMPTIONS'!$B$5:$B$39,0))</x:f>
        <x:v>600</x:v>
      </x:c>
      <x:c r="V27" s="6" t="n">
        <x:f>INDEX('01_ASSUMPTIONS'!$J$5:$J$39,MATCH("commercial_marketing",'01_ASSUMPTIONS'!$B$5:$B$39,0))</x:f>
        <x:v>1000</x:v>
      </x:c>
      <x:c r="W27" s="6" t="n">
        <x:f>INDEX('01_ASSUMPTIONS'!$J$5:$J$39,MATCH("other_fixed",'01_ASSUMPTIONS'!$B$5:$B$39,0))</x:f>
        <x:v>300</x:v>
      </x:c>
      <x:c r="X27" s="6" t="n">
        <x:f>SUM(R27:W27)</x:f>
        <x:v>8600</x:v>
      </x:c>
      <x:c r="Y27" s="6" t="n">
        <x:f>L27-Q27-X27</x:f>
        <x:v>-6392.985697369382</x:v>
      </x:c>
      <x:c r="Z27" s="6" t="n">
        <x:f>0</x:f>
        <x:v>0</x:v>
      </x:c>
      <x:c r="AA27" s="6" t="n">
        <x:f>Y27-Z27</x:f>
        <x:v>-6392.985697369382</x:v>
      </x:c>
      <x:c r="AB27" s="5" t="n">
        <x:f>1/(1+'01_ASSUMPTIONS'!$E$2)^A27</x:f>
        <x:v>0.6166351897593562</x:v>
      </x:c>
      <x:c r="AC27" s="6" t="n">
        <x:f>AA27*AB27</x:f>
        <x:v>-3942.139948626219</x:v>
      </x:c>
      <x:c r="AD27" s="6" t="n">
        <x:f>AD26+AA27</x:f>
        <x:v>-211670.70082890033</x:v>
      </x:c>
      <x:c r="AE27" t="str">
        <x:f>IF(Y27&gt;=0,"Yes","No")</x:f>
        <x:v>No</x:v>
      </x:c>
      <x:c r="AF27" t="str">
        <x:f>IF(AD27&gt;=0,"Yes","No")</x:f>
        <x:v>No</x:v>
      </x:c>
    </x:row>
    <x:row r="28">
      <x:c r="A28" t="n">
        <x:f>27</x:f>
        <x:v>27</x:v>
      </x:c>
      <x:c r="B28" s="7" t="n">
        <x:f>B27*(1-INDEX('01_ASSUMPTIONS'!$J$5:$J$39,MATCH("monthly_churn",'01_ASSUMPTIONS'!$B$5:$B$39,0)))+INDEX('01_ASSUMPTIONS'!$J$5:$J$39,MATCH("starter_monthly_acquisition",'01_ASSUMPTIONS'!$B$5:$B$39,0))</x:f>
        <x:v>7.948963721789391</x:v>
      </x:c>
      <x:c r="C28" s="7" t="n">
        <x:f>C27*(1-INDEX('01_ASSUMPTIONS'!$J$5:$J$39,MATCH("monthly_churn",'01_ASSUMPTIONS'!$B$5:$B$39,0)))+INDEX('01_ASSUMPTIONS'!$J$5:$J$39,MATCH("professional_monthly_acquisition",'01_ASSUMPTIONS'!$B$5:$B$39,0))</x:f>
        <x:v>2.5225948411220847</x:v>
      </x:c>
      <x:c r="D28" s="7" t="n">
        <x:f>D27*(1-INDEX('01_ASSUMPTIONS'!$J$5:$J$39,MATCH("monthly_churn",'01_ASSUMPTIONS'!$B$5:$B$39,0)))+INDEX('01_ASSUMPTIONS'!$J$5:$J$39,MATCH("enterprise_monthly_acquisition",'01_ASSUMPTIONS'!$B$5:$B$39,0))</x:f>
        <x:v>0.6306487102805212</x:v>
      </x:c>
      <x:c r="E28" s="7" t="n">
        <x:f>SUM(B28:D28)</x:f>
        <x:v>11.102207273191997</x:v>
      </x:c>
      <x:c r="F28" s="7" t="n">
        <x:f>B28*INDEX('01_ASSUMPTIONS'!$J$5:$J$39,MATCH("starter_studies_per_customer",'01_ASSUMPTIONS'!$B$5:$B$39,0))</x:f>
        <x:v>1033.365283832621</x:v>
      </x:c>
      <x:c r="G28" s="7" t="n">
        <x:f>C28*INDEX('01_ASSUMPTIONS'!$J$5:$J$39,MATCH("professional_studies_per_customer",'01_ASSUMPTIONS'!$B$5:$B$39,0))</x:f>
        <x:v>1387.4271626171465</x:v>
      </x:c>
      <x:c r="H28" s="7" t="n">
        <x:f>D28*INDEX('01_ASSUMPTIONS'!$J$5:$J$39,MATCH("enterprise_studies_per_customer",'01_ASSUMPTIONS'!$B$5:$B$39,0))</x:f>
        <x:v>1009.0379364488339</x:v>
      </x:c>
      <x:c r="I28" s="7" t="n">
        <x:f>SUM(F28:H28)</x:f>
        <x:v>3429.8303828986013</x:v>
      </x:c>
      <x:c r="J28" s="6" t="n">
        <x:f>B28*INDEX('01_ASSUMPTIONS'!$J$5:$J$39,MATCH("starter_fee",'01_ASSUMPTIONS'!$B$5:$B$39,0))+C28*INDEX('01_ASSUMPTIONS'!$J$5:$J$39,MATCH("professional_fee",'01_ASSUMPTIONS'!$B$5:$B$39,0))+D28*INDEX('01_ASSUMPTIONS'!$J$5:$J$39,MATCH("enterprise_fee",'01_ASSUMPTIONS'!$B$5:$B$39,0))</x:f>
        <x:v>11643.449175131314</x:v>
      </x:c>
      <x:c r="K28" s="6" t="n">
        <x:f>MAX(F28-B28*INDEX('01_ASSUMPTIONS'!$J$5:$J$39,MATCH("starter_included_studies",'01_ASSUMPTIONS'!$B$5:$B$39,0)),0)*INDEX('01_ASSUMPTIONS'!$J$5:$J$39,MATCH("starter_overage_fee",'01_ASSUMPTIONS'!$B$5:$B$39,0))+MAX(G28-C28*INDEX('01_ASSUMPTIONS'!$J$5:$J$39,MATCH("professional_included_studies",'01_ASSUMPTIONS'!$B$5:$B$39,0)),0)*INDEX('01_ASSUMPTIONS'!$J$5:$J$39,MATCH("professional_overage_fee",'01_ASSUMPTIONS'!$B$5:$B$39,0))+MAX(H28-D28*INDEX('01_ASSUMPTIONS'!$J$5:$J$39,MATCH("enterprise_included_studies",'01_ASSUMPTIONS'!$B$5:$B$39,0)),0)*INDEX('01_ASSUMPTIONS'!$J$5:$J$39,MATCH("enterprise_overage_fee",'01_ASSUMPTIONS'!$B$5:$B$39,0))</x:f>
        <x:v>1644.9550341919853</x:v>
      </x:c>
      <x:c r="L28" s="6" t="n">
        <x:f>J28+K28</x:f>
        <x:v>13288.4042093233</x:v>
      </x:c>
      <x:c r="M28" s="6" t="n">
        <x:f>I28*INDEX('01_ASSUMPTIONS'!$J$5:$J$39,MATCH("cloud_cost_per_study",'01_ASSUMPTIONS'!$B$5:$B$39,0))</x:f>
        <x:v>5144.745574347902</x:v>
      </x:c>
      <x:c r="N28" s="6" t="n">
        <x:f>I28*INDEX('01_ASSUMPTIONS'!$J$5:$J$39,MATCH("storage_cost_per_study",'01_ASSUMPTIONS'!$B$5:$B$39,0))</x:f>
        <x:v>754.5626842376923</x:v>
      </x:c>
      <x:c r="O28" s="6" t="n">
        <x:f>I28*INDEX('01_ASSUMPTIONS'!$J$5:$J$39,MATCH("ai_processing_cost_per_study",'01_ASSUMPTIONS'!$B$5:$B$39,0))</x:f>
        <x:v>4458.7794977681815</x:v>
      </x:c>
      <x:c r="P28" s="6" t="n">
        <x:f>E28*INDEX('01_ASSUMPTIONS'!$J$5:$J$39,MATCH("variable_support_per_customer",'01_ASSUMPTIONS'!$B$5:$B$39,0))</x:f>
        <x:v>666.1324363915198</x:v>
      </x:c>
      <x:c r="Q28" s="6" t="n">
        <x:f>SUM(M28:P28)</x:f>
        <x:v>11024.220192745295</x:v>
      </x:c>
      <x:c r="R28" s="6" t="n">
        <x:f>INDEX('01_ASSUMPTIONS'!$J$5:$J$39,MATCH("fixed_infra",'01_ASSUMPTIONS'!$B$5:$B$39,0))</x:f>
        <x:v>500</x:v>
      </x:c>
      <x:c r="S28" s="6" t="n">
        <x:f>INDEX('01_ASSUMPTIONS'!$J$5:$J$39,MATCH("software_maintenance",'01_ASSUMPTIONS'!$B$5:$B$39,0))</x:f>
        <x:v>5000</x:v>
      </x:c>
      <x:c r="T28" s="6" t="n">
        <x:f>INDEX('01_ASSUMPTIONS'!$J$5:$J$39,MATCH("base_support",'01_ASSUMPTIONS'!$B$5:$B$39,0))</x:f>
        <x:v>1200</x:v>
      </x:c>
      <x:c r="U28" s="6" t="n">
        <x:f>INDEX('01_ASSUMPTIONS'!$J$5:$J$39,MATCH("admin",'01_ASSUMPTIONS'!$B$5:$B$39,0))</x:f>
        <x:v>600</x:v>
      </x:c>
      <x:c r="V28" s="6" t="n">
        <x:f>INDEX('01_ASSUMPTIONS'!$J$5:$J$39,MATCH("commercial_marketing",'01_ASSUMPTIONS'!$B$5:$B$39,0))</x:f>
        <x:v>1000</x:v>
      </x:c>
      <x:c r="W28" s="6" t="n">
        <x:f>INDEX('01_ASSUMPTIONS'!$J$5:$J$39,MATCH("other_fixed",'01_ASSUMPTIONS'!$B$5:$B$39,0))</x:f>
        <x:v>300</x:v>
      </x:c>
      <x:c r="X28" s="6" t="n">
        <x:f>SUM(R28:W28)</x:f>
        <x:v>8600</x:v>
      </x:c>
      <x:c r="Y28" s="6" t="n">
        <x:f>L28-Q28-X28</x:f>
        <x:v>-6335.815983421995</x:v>
      </x:c>
      <x:c r="Z28" s="6" t="n">
        <x:f>0</x:f>
        <x:v>0</x:v>
      </x:c>
      <x:c r="AA28" s="6" t="n">
        <x:f>Y28-Z28</x:f>
        <x:v>-6335.815983421995</x:v>
      </x:c>
      <x:c r="AB28" s="5" t="n">
        <x:f>1/(1+'01_ASSUMPTIONS'!$E$2)^A28</x:f>
        <x:v>0.6052746297620311</x:v>
      </x:c>
      <x:c r="AC28" s="6" t="n">
        <x:f>AA28*AB28</x:f>
        <x:v>-3834.9086736061067</x:v>
      </x:c>
      <x:c r="AD28" s="6" t="n">
        <x:f>AD27+AA28</x:f>
        <x:v>-218006.5168123223</x:v>
      </x:c>
      <x:c r="AE28" t="str">
        <x:f>IF(Y28&gt;=0,"Yes","No")</x:f>
        <x:v>No</x:v>
      </x:c>
      <x:c r="AF28" t="str">
        <x:f>IF(AD28&gt;=0,"Yes","No")</x:f>
        <x:v>No</x:v>
      </x:c>
    </x:row>
    <x:row r="29">
      <x:c r="A29" t="n">
        <x:f>28</x:f>
        <x:v>28</x:v>
      </x:c>
      <x:c r="B29" s="7" t="n">
        <x:f>B28*(1-INDEX('01_ASSUMPTIONS'!$J$5:$J$39,MATCH("monthly_churn",'01_ASSUMPTIONS'!$B$5:$B$39,0)))+INDEX('01_ASSUMPTIONS'!$J$5:$J$39,MATCH("starter_monthly_acquisition",'01_ASSUMPTIONS'!$B$5:$B$39,0))</x:f>
        <x:v>8.139984447353603</x:v>
      </x:c>
      <x:c r="C29" s="7" t="n">
        <x:f>C28*(1-INDEX('01_ASSUMPTIONS'!$J$5:$J$39,MATCH("monthly_churn",'01_ASSUMPTIONS'!$B$5:$B$39,0)))+INDEX('01_ASSUMPTIONS'!$J$5:$J$39,MATCH("professional_monthly_acquisition",'01_ASSUMPTIONS'!$B$5:$B$39,0))</x:f>
        <x:v>2.592142944299643</x:v>
      </x:c>
      <x:c r="D29" s="7" t="n">
        <x:f>D28*(1-INDEX('01_ASSUMPTIONS'!$J$5:$J$39,MATCH("monthly_churn",'01_ASSUMPTIONS'!$B$5:$B$39,0)))+INDEX('01_ASSUMPTIONS'!$J$5:$J$39,MATCH("enterprise_monthly_acquisition",'01_ASSUMPTIONS'!$B$5:$B$39,0))</x:f>
        <x:v>0.6480357360749107</x:v>
      </x:c>
      <x:c r="E29" s="7" t="n">
        <x:f>SUM(B29:D29)</x:f>
        <x:v>11.380163127728158</x:v>
      </x:c>
      <x:c r="F29" s="7" t="n">
        <x:f>B29*INDEX('01_ASSUMPTIONS'!$J$5:$J$39,MATCH("starter_studies_per_customer",'01_ASSUMPTIONS'!$B$5:$B$39,0))</x:f>
        <x:v>1058.1979781559685</x:v>
      </x:c>
      <x:c r="G29" s="7" t="n">
        <x:f>C29*INDEX('01_ASSUMPTIONS'!$J$5:$J$39,MATCH("professional_studies_per_customer",'01_ASSUMPTIONS'!$B$5:$B$39,0))</x:f>
        <x:v>1425.6786193648036</x:v>
      </x:c>
      <x:c r="H29" s="7" t="n">
        <x:f>D29*INDEX('01_ASSUMPTIONS'!$J$5:$J$39,MATCH("enterprise_studies_per_customer",'01_ASSUMPTIONS'!$B$5:$B$39,0))</x:f>
        <x:v>1036.8571777198572</x:v>
      </x:c>
      <x:c r="I29" s="7" t="n">
        <x:f>SUM(F29:H29)</x:f>
        <x:v>3520.7337752406293</x:v>
      </x:c>
      <x:c r="J29" s="6" t="n">
        <x:f>B29*INDEX('01_ASSUMPTIONS'!$J$5:$J$39,MATCH("starter_fee",'01_ASSUMPTIONS'!$B$5:$B$39,0))+C29*INDEX('01_ASSUMPTIONS'!$J$5:$J$39,MATCH("professional_fee",'01_ASSUMPTIONS'!$B$5:$B$39,0))+D29*INDEX('01_ASSUMPTIONS'!$J$5:$J$39,MATCH("enterprise_fee",'01_ASSUMPTIONS'!$B$5:$B$39,0))</x:f>
        <x:v>11947.58019162869</x:v>
      </x:c>
      <x:c r="K29" s="6" t="n">
        <x:f>MAX(F29-B29*INDEX('01_ASSUMPTIONS'!$J$5:$J$39,MATCH("starter_included_studies",'01_ASSUMPTIONS'!$B$5:$B$39,0)),0)*INDEX('01_ASSUMPTIONS'!$J$5:$J$39,MATCH("starter_overage_fee",'01_ASSUMPTIONS'!$B$5:$B$39,0))+MAX(G29-C29*INDEX('01_ASSUMPTIONS'!$J$5:$J$39,MATCH("professional_included_studies",'01_ASSUMPTIONS'!$B$5:$B$39,0)),0)*INDEX('01_ASSUMPTIONS'!$J$5:$J$39,MATCH("professional_overage_fee",'01_ASSUMPTIONS'!$B$5:$B$39,0))+MAX(H29-D29*INDEX('01_ASSUMPTIONS'!$J$5:$J$39,MATCH("enterprise_included_studies",'01_ASSUMPTIONS'!$B$5:$B$39,0)),0)*INDEX('01_ASSUMPTIONS'!$J$5:$J$39,MATCH("enterprise_overage_fee",'01_ASSUMPTIONS'!$B$5:$B$39,0))</x:f>
        <x:v>1688.0559335081462</x:v>
      </x:c>
      <x:c r="L29" s="6" t="n">
        <x:f>J29+K29</x:f>
        <x:v>13635.636125136836</x:v>
      </x:c>
      <x:c r="M29" s="6" t="n">
        <x:f>I29*INDEX('01_ASSUMPTIONS'!$J$5:$J$39,MATCH("cloud_cost_per_study",'01_ASSUMPTIONS'!$B$5:$B$39,0))</x:f>
        <x:v>5281.100662860944</x:v>
      </x:c>
      <x:c r="N29" s="6" t="n">
        <x:f>I29*INDEX('01_ASSUMPTIONS'!$J$5:$J$39,MATCH("storage_cost_per_study",'01_ASSUMPTIONS'!$B$5:$B$39,0))</x:f>
        <x:v>774.5614305529384</x:v>
      </x:c>
      <x:c r="O29" s="6" t="n">
        <x:f>I29*INDEX('01_ASSUMPTIONS'!$J$5:$J$39,MATCH("ai_processing_cost_per_study",'01_ASSUMPTIONS'!$B$5:$B$39,0))</x:f>
        <x:v>4576.953907812818</x:v>
      </x:c>
      <x:c r="P29" s="6" t="n">
        <x:f>E29*INDEX('01_ASSUMPTIONS'!$J$5:$J$39,MATCH("variable_support_per_customer",'01_ASSUMPTIONS'!$B$5:$B$39,0))</x:f>
        <x:v>682.8097876636895</x:v>
      </x:c>
      <x:c r="Q29" s="6" t="n">
        <x:f>SUM(M29:P29)</x:f>
        <x:v>11315.42578889039</x:v>
      </x:c>
      <x:c r="R29" s="6" t="n">
        <x:f>INDEX('01_ASSUMPTIONS'!$J$5:$J$39,MATCH("fixed_infra",'01_ASSUMPTIONS'!$B$5:$B$39,0))</x:f>
        <x:v>500</x:v>
      </x:c>
      <x:c r="S29" s="6" t="n">
        <x:f>INDEX('01_ASSUMPTIONS'!$J$5:$J$39,MATCH("software_maintenance",'01_ASSUMPTIONS'!$B$5:$B$39,0))</x:f>
        <x:v>5000</x:v>
      </x:c>
      <x:c r="T29" s="6" t="n">
        <x:f>INDEX('01_ASSUMPTIONS'!$J$5:$J$39,MATCH("base_support",'01_ASSUMPTIONS'!$B$5:$B$39,0))</x:f>
        <x:v>1200</x:v>
      </x:c>
      <x:c r="U29" s="6" t="n">
        <x:f>INDEX('01_ASSUMPTIONS'!$J$5:$J$39,MATCH("admin",'01_ASSUMPTIONS'!$B$5:$B$39,0))</x:f>
        <x:v>600</x:v>
      </x:c>
      <x:c r="V29" s="6" t="n">
        <x:f>INDEX('01_ASSUMPTIONS'!$J$5:$J$39,MATCH("commercial_marketing",'01_ASSUMPTIONS'!$B$5:$B$39,0))</x:f>
        <x:v>1000</x:v>
      </x:c>
      <x:c r="W29" s="6" t="n">
        <x:f>INDEX('01_ASSUMPTIONS'!$J$5:$J$39,MATCH("other_fixed",'01_ASSUMPTIONS'!$B$5:$B$39,0))</x:f>
        <x:v>300</x:v>
      </x:c>
      <x:c r="X29" s="6" t="n">
        <x:f>SUM(R29:W29)</x:f>
        <x:v>8600</x:v>
      </x:c>
      <x:c r="Y29" s="6" t="n">
        <x:f>L29-Q29-X29</x:f>
        <x:v>-6279.789663753554</x:v>
      </x:c>
      <x:c r="Z29" s="6" t="n">
        <x:f>0</x:f>
        <x:v>0</x:v>
      </x:c>
      <x:c r="AA29" s="6" t="n">
        <x:f>Y29-Z29</x:f>
        <x:v>-6279.789663753554</x:v>
      </x:c>
      <x:c r="AB29" s="5" t="n">
        <x:f>1/(1+'01_ASSUMPTIONS'!$E$2)^A29</x:f>
        <x:v>0.5941233707024343</x:v>
      </x:c>
      <x:c r="AC29" s="6" t="n">
        <x:f>AA29*AB29</x:f>
        <x:v>-3730.9698023315677</x:v>
      </x:c>
      <x:c r="AD29" s="6" t="n">
        <x:f>AD28+AA29</x:f>
        <x:v>-224286.30647607587</x:v>
      </x:c>
      <x:c r="AE29" t="str">
        <x:f>IF(Y29&gt;=0,"Yes","No")</x:f>
        <x:v>No</x:v>
      </x:c>
      <x:c r="AF29" t="str">
        <x:f>IF(AD29&gt;=0,"Yes","No")</x:f>
        <x:v>No</x:v>
      </x:c>
    </x:row>
    <x:row r="30">
      <x:c r="A30" t="n">
        <x:f>29</x:f>
        <x:v>29</x:v>
      </x:c>
      <x:c r="B30" s="7" t="n">
        <x:f>B29*(1-INDEX('01_ASSUMPTIONS'!$J$5:$J$39,MATCH("monthly_churn",'01_ASSUMPTIONS'!$B$5:$B$39,0)))+INDEX('01_ASSUMPTIONS'!$J$5:$J$39,MATCH("starter_monthly_acquisition",'01_ASSUMPTIONS'!$B$5:$B$39,0))</x:f>
        <x:v>8.327184758406531</x:v>
      </x:c>
      <x:c r="C30" s="7" t="n">
        <x:f>C29*(1-INDEX('01_ASSUMPTIONS'!$J$5:$J$39,MATCH("monthly_churn",'01_ASSUMPTIONS'!$B$5:$B$39,0)))+INDEX('01_ASSUMPTIONS'!$J$5:$J$39,MATCH("professional_monthly_acquisition",'01_ASSUMPTIONS'!$B$5:$B$39,0))</x:f>
        <x:v>2.6603000854136503</x:v>
      </x:c>
      <x:c r="D30" s="7" t="n">
        <x:f>D29*(1-INDEX('01_ASSUMPTIONS'!$J$5:$J$39,MATCH("monthly_churn",'01_ASSUMPTIONS'!$B$5:$B$39,0)))+INDEX('01_ASSUMPTIONS'!$J$5:$J$39,MATCH("enterprise_monthly_acquisition",'01_ASSUMPTIONS'!$B$5:$B$39,0))</x:f>
        <x:v>0.6650750213534126</x:v>
      </x:c>
      <x:c r="E30" s="7" t="n">
        <x:f>SUM(B30:D30)</x:f>
        <x:v>11.652559865173595</x:v>
      </x:c>
      <x:c r="F30" s="7" t="n">
        <x:f>B30*INDEX('01_ASSUMPTIONS'!$J$5:$J$39,MATCH("starter_studies_per_customer",'01_ASSUMPTIONS'!$B$5:$B$39,0))</x:f>
        <x:v>1082.534018592849</x:v>
      </x:c>
      <x:c r="G30" s="7" t="n">
        <x:f>C30*INDEX('01_ASSUMPTIONS'!$J$5:$J$39,MATCH("professional_studies_per_customer",'01_ASSUMPTIONS'!$B$5:$B$39,0))</x:f>
        <x:v>1463.1650469775077</x:v>
      </x:c>
      <x:c r="H30" s="7" t="n">
        <x:f>D30*INDEX('01_ASSUMPTIONS'!$J$5:$J$39,MATCH("enterprise_studies_per_customer",'01_ASSUMPTIONS'!$B$5:$B$39,0))</x:f>
        <x:v>1064.12003416546</x:v>
      </x:c>
      <x:c r="I30" s="7" t="n">
        <x:f>SUM(F30:H30)</x:f>
        <x:v>3609.819099735817</x:v>
      </x:c>
      <x:c r="J30" s="6" t="n">
        <x:f>B30*INDEX('01_ASSUMPTIONS'!$J$5:$J$39,MATCH("starter_fee",'01_ASSUMPTIONS'!$B$5:$B$39,0))+C30*INDEX('01_ASSUMPTIONS'!$J$5:$J$39,MATCH("professional_fee",'01_ASSUMPTIONS'!$B$5:$B$39,0))+D30*INDEX('01_ASSUMPTIONS'!$J$5:$J$39,MATCH("enterprise_fee",'01_ASSUMPTIONS'!$B$5:$B$39,0))</x:f>
        <x:v>12245.628587796115</x:v>
      </x:c>
      <x:c r="K30" s="6" t="n">
        <x:f>MAX(F30-B30*INDEX('01_ASSUMPTIONS'!$J$5:$J$39,MATCH("starter_included_studies",'01_ASSUMPTIONS'!$B$5:$B$39,0)),0)*INDEX('01_ASSUMPTIONS'!$J$5:$J$39,MATCH("starter_overage_fee",'01_ASSUMPTIONS'!$B$5:$B$39,0))+MAX(G30-C30*INDEX('01_ASSUMPTIONS'!$J$5:$J$39,MATCH("professional_included_studies",'01_ASSUMPTIONS'!$B$5:$B$39,0)),0)*INDEX('01_ASSUMPTIONS'!$J$5:$J$39,MATCH("professional_overage_fee",'01_ASSUMPTIONS'!$B$5:$B$39,0))+MAX(H30-D30*INDEX('01_ASSUMPTIONS'!$J$5:$J$39,MATCH("enterprise_included_studies",'01_ASSUMPTIONS'!$B$5:$B$39,0)),0)*INDEX('01_ASSUMPTIONS'!$J$5:$J$39,MATCH("enterprise_overage_fee",'01_ASSUMPTIONS'!$B$5:$B$39,0))</x:f>
        <x:v>1730.294814837982</x:v>
      </x:c>
      <x:c r="L30" s="6" t="n">
        <x:f>J30+K30</x:f>
        <x:v>13975.923402634096</x:v>
      </x:c>
      <x:c r="M30" s="6" t="n">
        <x:f>I30*INDEX('01_ASSUMPTIONS'!$J$5:$J$39,MATCH("cloud_cost_per_study",'01_ASSUMPTIONS'!$B$5:$B$39,0))</x:f>
        <x:v>5414.728649603725</x:v>
      </x:c>
      <x:c r="N30" s="6" t="n">
        <x:f>I30*INDEX('01_ASSUMPTIONS'!$J$5:$J$39,MATCH("storage_cost_per_study",'01_ASSUMPTIONS'!$B$5:$B$39,0))</x:f>
        <x:v>794.1602019418798</x:v>
      </x:c>
      <x:c r="O30" s="6" t="n">
        <x:f>I30*INDEX('01_ASSUMPTIONS'!$J$5:$J$39,MATCH("ai_processing_cost_per_study",'01_ASSUMPTIONS'!$B$5:$B$39,0))</x:f>
        <x:v>4692.764829656562</x:v>
      </x:c>
      <x:c r="P30" s="6" t="n">
        <x:f>E30*INDEX('01_ASSUMPTIONS'!$J$5:$J$39,MATCH("variable_support_per_customer",'01_ASSUMPTIONS'!$B$5:$B$39,0))</x:f>
        <x:v>699.1535919104157</x:v>
      </x:c>
      <x:c r="Q30" s="6" t="n">
        <x:f>SUM(M30:P30)</x:f>
        <x:v>11600.807273112581</x:v>
      </x:c>
      <x:c r="R30" s="6" t="n">
        <x:f>INDEX('01_ASSUMPTIONS'!$J$5:$J$39,MATCH("fixed_infra",'01_ASSUMPTIONS'!$B$5:$B$39,0))</x:f>
        <x:v>500</x:v>
      </x:c>
      <x:c r="S30" s="6" t="n">
        <x:f>INDEX('01_ASSUMPTIONS'!$J$5:$J$39,MATCH("software_maintenance",'01_ASSUMPTIONS'!$B$5:$B$39,0))</x:f>
        <x:v>5000</x:v>
      </x:c>
      <x:c r="T30" s="6" t="n">
        <x:f>INDEX('01_ASSUMPTIONS'!$J$5:$J$39,MATCH("base_support",'01_ASSUMPTIONS'!$B$5:$B$39,0))</x:f>
        <x:v>1200</x:v>
      </x:c>
      <x:c r="U30" s="6" t="n">
        <x:f>INDEX('01_ASSUMPTIONS'!$J$5:$J$39,MATCH("admin",'01_ASSUMPTIONS'!$B$5:$B$39,0))</x:f>
        <x:v>600</x:v>
      </x:c>
      <x:c r="V30" s="6" t="n">
        <x:f>INDEX('01_ASSUMPTIONS'!$J$5:$J$39,MATCH("commercial_marketing",'01_ASSUMPTIONS'!$B$5:$B$39,0))</x:f>
        <x:v>1000</x:v>
      </x:c>
      <x:c r="W30" s="6" t="n">
        <x:f>INDEX('01_ASSUMPTIONS'!$J$5:$J$39,MATCH("other_fixed",'01_ASSUMPTIONS'!$B$5:$B$39,0))</x:f>
        <x:v>300</x:v>
      </x:c>
      <x:c r="X30" s="6" t="n">
        <x:f>SUM(R30:W30)</x:f>
        <x:v>8600</x:v>
      </x:c>
      <x:c r="Y30" s="6" t="n">
        <x:f>L30-Q30-X30</x:f>
        <x:v>-6224.883870478485</x:v>
      </x:c>
      <x:c r="Z30" s="6" t="n">
        <x:f>0</x:f>
        <x:v>0</x:v>
      </x:c>
      <x:c r="AA30" s="6" t="n">
        <x:f>Y30-Z30</x:f>
        <x:v>-6224.883870478485</x:v>
      </x:c>
      <x:c r="AB30" s="5" t="n">
        <x:f>1/(1+'01_ASSUMPTIONS'!$E$2)^A30</x:f>
        <x:v>0.5831775565309919</x:v>
      </x:c>
      <x:c r="AC30" s="6" t="n">
        <x:f>AA30*AB30</x:f>
        <x:v>-3630.2125652748264</x:v>
      </x:c>
      <x:c r="AD30" s="6" t="n">
        <x:f>AD29+AA30</x:f>
        <x:v>-230511.19034655436</x:v>
      </x:c>
      <x:c r="AE30" t="str">
        <x:f>IF(Y30&gt;=0,"Yes","No")</x:f>
        <x:v>No</x:v>
      </x:c>
      <x:c r="AF30" t="str">
        <x:f>IF(AD30&gt;=0,"Yes","No")</x:f>
        <x:v>No</x:v>
      </x:c>
    </x:row>
    <x:row r="31">
      <x:c r="A31" t="n">
        <x:f>30</x:f>
        <x:v>30</x:v>
      </x:c>
      <x:c r="B31" s="7" t="n">
        <x:f>B30*(1-INDEX('01_ASSUMPTIONS'!$J$5:$J$39,MATCH("monthly_churn",'01_ASSUMPTIONS'!$B$5:$B$39,0)))+INDEX('01_ASSUMPTIONS'!$J$5:$J$39,MATCH("starter_monthly_acquisition",'01_ASSUMPTIONS'!$B$5:$B$39,0))</x:f>
        <x:v>8.5106410632384</x:v>
      </x:c>
      <x:c r="C31" s="7" t="n">
        <x:f>C30*(1-INDEX('01_ASSUMPTIONS'!$J$5:$J$39,MATCH("monthly_churn",'01_ASSUMPTIONS'!$B$5:$B$39,0)))+INDEX('01_ASSUMPTIONS'!$J$5:$J$39,MATCH("professional_monthly_acquisition",'01_ASSUMPTIONS'!$B$5:$B$39,0))</x:f>
        <x:v>2.7270940837053774</x:v>
      </x:c>
      <x:c r="D31" s="7" t="n">
        <x:f>D30*(1-INDEX('01_ASSUMPTIONS'!$J$5:$J$39,MATCH("monthly_churn",'01_ASSUMPTIONS'!$B$5:$B$39,0)))+INDEX('01_ASSUMPTIONS'!$J$5:$J$39,MATCH("enterprise_monthly_acquisition",'01_ASSUMPTIONS'!$B$5:$B$39,0))</x:f>
        <x:v>0.6817735209263444</x:v>
      </x:c>
      <x:c r="E31" s="7" t="n">
        <x:f>SUM(B31:D31)</x:f>
        <x:v>11.919508667870122</x:v>
      </x:c>
      <x:c r="F31" s="7" t="n">
        <x:f>B31*INDEX('01_ASSUMPTIONS'!$J$5:$J$39,MATCH("starter_studies_per_customer",'01_ASSUMPTIONS'!$B$5:$B$39,0))</x:f>
        <x:v>1106.383338220992</x:v>
      </x:c>
      <x:c r="G31" s="7" t="n">
        <x:f>C31*INDEX('01_ASSUMPTIONS'!$J$5:$J$39,MATCH("professional_studies_per_customer",'01_ASSUMPTIONS'!$B$5:$B$39,0))</x:f>
        <x:v>1499.9017460379575</x:v>
      </x:c>
      <x:c r="H31" s="7" t="n">
        <x:f>D31*INDEX('01_ASSUMPTIONS'!$J$5:$J$39,MATCH("enterprise_studies_per_customer",'01_ASSUMPTIONS'!$B$5:$B$39,0))</x:f>
        <x:v>1090.837633482151</x:v>
      </x:c>
      <x:c r="I31" s="7" t="n">
        <x:f>SUM(F31:H31)</x:f>
        <x:v>3697.1227177411006</x:v>
      </x:c>
      <x:c r="J31" s="6" t="n">
        <x:f>B31*INDEX('01_ASSUMPTIONS'!$J$5:$J$39,MATCH("starter_fee",'01_ASSUMPTIONS'!$B$5:$B$39,0))+C31*INDEX('01_ASSUMPTIONS'!$J$5:$J$39,MATCH("professional_fee",'01_ASSUMPTIONS'!$B$5:$B$39,0))+D31*INDEX('01_ASSUMPTIONS'!$J$5:$J$39,MATCH("enterprise_fee",'01_ASSUMPTIONS'!$B$5:$B$39,0))</x:f>
        <x:v>12537.716016040195</x:v>
      </x:c>
      <x:c r="K31" s="6" t="n">
        <x:f>MAX(F31-B31*INDEX('01_ASSUMPTIONS'!$J$5:$J$39,MATCH("starter_included_studies",'01_ASSUMPTIONS'!$B$5:$B$39,0)),0)*INDEX('01_ASSUMPTIONS'!$J$5:$J$39,MATCH("starter_overage_fee",'01_ASSUMPTIONS'!$B$5:$B$39,0))+MAX(G31-C31*INDEX('01_ASSUMPTIONS'!$J$5:$J$39,MATCH("professional_included_studies",'01_ASSUMPTIONS'!$B$5:$B$39,0)),0)*INDEX('01_ASSUMPTIONS'!$J$5:$J$39,MATCH("professional_overage_fee",'01_ASSUMPTIONS'!$B$5:$B$39,0))+MAX(H31-D31*INDEX('01_ASSUMPTIONS'!$J$5:$J$39,MATCH("enterprise_included_studies",'01_ASSUMPTIONS'!$B$5:$B$39,0)),0)*INDEX('01_ASSUMPTIONS'!$J$5:$J$39,MATCH("enterprise_overage_fee",'01_ASSUMPTIONS'!$B$5:$B$39,0))</x:f>
        <x:v>1771.6889185412228</x:v>
      </x:c>
      <x:c r="L31" s="6" t="n">
        <x:f>J31+K31</x:f>
        <x:v>14309.404934581416</x:v>
      </x:c>
      <x:c r="M31" s="6" t="n">
        <x:f>I31*INDEX('01_ASSUMPTIONS'!$J$5:$J$39,MATCH("cloud_cost_per_study",'01_ASSUMPTIONS'!$B$5:$B$39,0))</x:f>
        <x:v>5545.684076611651</x:v>
      </x:c>
      <x:c r="N31" s="6" t="n">
        <x:f>I31*INDEX('01_ASSUMPTIONS'!$J$5:$J$39,MATCH("storage_cost_per_study",'01_ASSUMPTIONS'!$B$5:$B$39,0))</x:f>
        <x:v>813.3669979030421</x:v>
      </x:c>
      <x:c r="O31" s="6" t="n">
        <x:f>I31*INDEX('01_ASSUMPTIONS'!$J$5:$J$39,MATCH("ai_processing_cost_per_study",'01_ASSUMPTIONS'!$B$5:$B$39,0))</x:f>
        <x:v>4806.259533063431</x:v>
      </x:c>
      <x:c r="P31" s="6" t="n">
        <x:f>E31*INDEX('01_ASSUMPTIONS'!$J$5:$J$39,MATCH("variable_support_per_customer",'01_ASSUMPTIONS'!$B$5:$B$39,0))</x:f>
        <x:v>715.1705200722073</x:v>
      </x:c>
      <x:c r="Q31" s="6" t="n">
        <x:f>SUM(M31:P31)</x:f>
        <x:v>11880.481127650333</x:v>
      </x:c>
      <x:c r="R31" s="6" t="n">
        <x:f>INDEX('01_ASSUMPTIONS'!$J$5:$J$39,MATCH("fixed_infra",'01_ASSUMPTIONS'!$B$5:$B$39,0))</x:f>
        <x:v>500</x:v>
      </x:c>
      <x:c r="S31" s="6" t="n">
        <x:f>INDEX('01_ASSUMPTIONS'!$J$5:$J$39,MATCH("software_maintenance",'01_ASSUMPTIONS'!$B$5:$B$39,0))</x:f>
        <x:v>5000</x:v>
      </x:c>
      <x:c r="T31" s="6" t="n">
        <x:f>INDEX('01_ASSUMPTIONS'!$J$5:$J$39,MATCH("base_support",'01_ASSUMPTIONS'!$B$5:$B$39,0))</x:f>
        <x:v>1200</x:v>
      </x:c>
      <x:c r="U31" s="6" t="n">
        <x:f>INDEX('01_ASSUMPTIONS'!$J$5:$J$39,MATCH("admin",'01_ASSUMPTIONS'!$B$5:$B$39,0))</x:f>
        <x:v>600</x:v>
      </x:c>
      <x:c r="V31" s="6" t="n">
        <x:f>INDEX('01_ASSUMPTIONS'!$J$5:$J$39,MATCH("commercial_marketing",'01_ASSUMPTIONS'!$B$5:$B$39,0))</x:f>
        <x:v>1000</x:v>
      </x:c>
      <x:c r="W31" s="6" t="n">
        <x:f>INDEX('01_ASSUMPTIONS'!$J$5:$J$39,MATCH("other_fixed",'01_ASSUMPTIONS'!$B$5:$B$39,0))</x:f>
        <x:v>300</x:v>
      </x:c>
      <x:c r="X31" s="6" t="n">
        <x:f>SUM(R31:W31)</x:f>
        <x:v>8600</x:v>
      </x:c>
      <x:c r="Y31" s="6" t="n">
        <x:f>L31-Q31-X31</x:f>
        <x:v>-6171.076193068917</x:v>
      </x:c>
      <x:c r="Z31" s="6" t="n">
        <x:f>0</x:f>
        <x:v>0</x:v>
      </x:c>
      <x:c r="AA31" s="6" t="n">
        <x:f>Y31-Z31</x:f>
        <x:v>-6171.076193068917</x:v>
      </x:c>
      <x:c r="AB31" s="5" t="n">
        <x:f>1/(1+'01_ASSUMPTIONS'!$E$2)^A31</x:f>
        <x:v>0.5724334022399447</x:v>
      </x:c>
      <x:c r="AC31" s="6" t="n">
        <x:f>AA31*AB31</x:f>
        <x:v>-3532.5301406803655</x:v>
      </x:c>
      <x:c r="AD31" s="6" t="n">
        <x:f>AD30+AA31</x:f>
        <x:v>-236682.26653962326</x:v>
      </x:c>
      <x:c r="AE31" t="str">
        <x:f>IF(Y31&gt;=0,"Yes","No")</x:f>
        <x:v>No</x:v>
      </x:c>
      <x:c r="AF31" t="str">
        <x:f>IF(AD31&gt;=0,"Yes","No")</x:f>
        <x:v>No</x:v>
      </x:c>
    </x:row>
    <x:row r="32">
      <x:c r="A32" t="n">
        <x:f>31</x:f>
        <x:v>31</x:v>
      </x:c>
      <x:c r="B32" s="7" t="n">
        <x:f>B31*(1-INDEX('01_ASSUMPTIONS'!$J$5:$J$39,MATCH("monthly_churn",'01_ASSUMPTIONS'!$B$5:$B$39,0)))+INDEX('01_ASSUMPTIONS'!$J$5:$J$39,MATCH("starter_monthly_acquisition",'01_ASSUMPTIONS'!$B$5:$B$39,0))</x:f>
        <x:v>8.690428241973633</x:v>
      </x:c>
      <x:c r="C32" s="7" t="n">
        <x:f>C31*(1-INDEX('01_ASSUMPTIONS'!$J$5:$J$39,MATCH("monthly_churn",'01_ASSUMPTIONS'!$B$5:$B$39,0)))+INDEX('01_ASSUMPTIONS'!$J$5:$J$39,MATCH("professional_monthly_acquisition",'01_ASSUMPTIONS'!$B$5:$B$39,0))</x:f>
        <x:v>2.79255220203127</x:v>
      </x:c>
      <x:c r="D32" s="7" t="n">
        <x:f>D31*(1-INDEX('01_ASSUMPTIONS'!$J$5:$J$39,MATCH("monthly_churn",'01_ASSUMPTIONS'!$B$5:$B$39,0)))+INDEX('01_ASSUMPTIONS'!$J$5:$J$39,MATCH("enterprise_monthly_acquisition",'01_ASSUMPTIONS'!$B$5:$B$39,0))</x:f>
        <x:v>0.6981380505078175</x:v>
      </x:c>
      <x:c r="E32" s="7" t="n">
        <x:f>SUM(B32:D32)</x:f>
        <x:v>12.18111849451272</x:v>
      </x:c>
      <x:c r="F32" s="7" t="n">
        <x:f>B32*INDEX('01_ASSUMPTIONS'!$J$5:$J$39,MATCH("starter_studies_per_customer",'01_ASSUMPTIONS'!$B$5:$B$39,0))</x:f>
        <x:v>1129.7556714565724</x:v>
      </x:c>
      <x:c r="G32" s="7" t="n">
        <x:f>C32*INDEX('01_ASSUMPTIONS'!$J$5:$J$39,MATCH("professional_studies_per_customer",'01_ASSUMPTIONS'!$B$5:$B$39,0))</x:f>
        <x:v>1535.9037111171986</x:v>
      </x:c>
      <x:c r="H32" s="7" t="n">
        <x:f>D32*INDEX('01_ASSUMPTIONS'!$J$5:$J$39,MATCH("enterprise_studies_per_customer",'01_ASSUMPTIONS'!$B$5:$B$39,0))</x:f>
        <x:v>1117.020880812508</x:v>
      </x:c>
      <x:c r="I32" s="7" t="n">
        <x:f>SUM(F32:H32)</x:f>
        <x:v>3782.680263386279</x:v>
      </x:c>
      <x:c r="J32" s="6" t="n">
        <x:f>B32*INDEX('01_ASSUMPTIONS'!$J$5:$J$39,MATCH("starter_fee",'01_ASSUMPTIONS'!$B$5:$B$39,0))+C32*INDEX('01_ASSUMPTIONS'!$J$5:$J$39,MATCH("professional_fee",'01_ASSUMPTIONS'!$B$5:$B$39,0))+D32*INDEX('01_ASSUMPTIONS'!$J$5:$J$39,MATCH("enterprise_fee",'01_ASSUMPTIONS'!$B$5:$B$39,0))</x:f>
        <x:v>12823.961695719392</x:v>
      </x:c>
      <x:c r="K32" s="6" t="n">
        <x:f>MAX(F32-B32*INDEX('01_ASSUMPTIONS'!$J$5:$J$39,MATCH("starter_included_studies",'01_ASSUMPTIONS'!$B$5:$B$39,0)),0)*INDEX('01_ASSUMPTIONS'!$J$5:$J$39,MATCH("starter_overage_fee",'01_ASSUMPTIONS'!$B$5:$B$39,0))+MAX(G32-C32*INDEX('01_ASSUMPTIONS'!$J$5:$J$39,MATCH("professional_included_studies",'01_ASSUMPTIONS'!$B$5:$B$39,0)),0)*INDEX('01_ASSUMPTIONS'!$J$5:$J$39,MATCH("professional_overage_fee",'01_ASSUMPTIONS'!$B$5:$B$39,0))+MAX(H32-D32*INDEX('01_ASSUMPTIONS'!$J$5:$J$39,MATCH("enterprise_included_studies",'01_ASSUMPTIONS'!$B$5:$B$39,0)),0)*INDEX('01_ASSUMPTIONS'!$J$5:$J$39,MATCH("enterprise_overage_fee",'01_ASSUMPTIONS'!$B$5:$B$39,0))</x:f>
        <x:v>1812.255140170399</x:v>
      </x:c>
      <x:c r="L32" s="6" t="n">
        <x:f>J32+K32</x:f>
        <x:v>14636.21683588979</x:v>
      </x:c>
      <x:c r="M32" s="6" t="n">
        <x:f>I32*INDEX('01_ASSUMPTIONS'!$J$5:$J$39,MATCH("cloud_cost_per_study",'01_ASSUMPTIONS'!$B$5:$B$39,0))</x:f>
        <x:v>5674.020395079418</x:v>
      </x:c>
      <x:c r="N32" s="6" t="n">
        <x:f>I32*INDEX('01_ASSUMPTIONS'!$J$5:$J$39,MATCH("storage_cost_per_study",'01_ASSUMPTIONS'!$B$5:$B$39,0))</x:f>
        <x:v>832.1896579449814</x:v>
      </x:c>
      <x:c r="O32" s="6" t="n">
        <x:f>I32*INDEX('01_ASSUMPTIONS'!$J$5:$J$39,MATCH("ai_processing_cost_per_study",'01_ASSUMPTIONS'!$B$5:$B$39,0))</x:f>
        <x:v>4917.484342402163</x:v>
      </x:c>
      <x:c r="P32" s="6" t="n">
        <x:f>E32*INDEX('01_ASSUMPTIONS'!$J$5:$J$39,MATCH("variable_support_per_customer",'01_ASSUMPTIONS'!$B$5:$B$39,0))</x:f>
        <x:v>730.8671096707632</x:v>
      </x:c>
      <x:c r="Q32" s="6" t="n">
        <x:f>SUM(M32:P32)</x:f>
        <x:v>12154.561505097327</x:v>
      </x:c>
      <x:c r="R32" s="6" t="n">
        <x:f>INDEX('01_ASSUMPTIONS'!$J$5:$J$39,MATCH("fixed_infra",'01_ASSUMPTIONS'!$B$5:$B$39,0))</x:f>
        <x:v>500</x:v>
      </x:c>
      <x:c r="S32" s="6" t="n">
        <x:f>INDEX('01_ASSUMPTIONS'!$J$5:$J$39,MATCH("software_maintenance",'01_ASSUMPTIONS'!$B$5:$B$39,0))</x:f>
        <x:v>5000</x:v>
      </x:c>
      <x:c r="T32" s="6" t="n">
        <x:f>INDEX('01_ASSUMPTIONS'!$J$5:$J$39,MATCH("base_support",'01_ASSUMPTIONS'!$B$5:$B$39,0))</x:f>
        <x:v>1200</x:v>
      </x:c>
      <x:c r="U32" s="6" t="n">
        <x:f>INDEX('01_ASSUMPTIONS'!$J$5:$J$39,MATCH("admin",'01_ASSUMPTIONS'!$B$5:$B$39,0))</x:f>
        <x:v>600</x:v>
      </x:c>
      <x:c r="V32" s="6" t="n">
        <x:f>INDEX('01_ASSUMPTIONS'!$J$5:$J$39,MATCH("commercial_marketing",'01_ASSUMPTIONS'!$B$5:$B$39,0))</x:f>
        <x:v>1000</x:v>
      </x:c>
      <x:c r="W32" s="6" t="n">
        <x:f>INDEX('01_ASSUMPTIONS'!$J$5:$J$39,MATCH("other_fixed",'01_ASSUMPTIONS'!$B$5:$B$39,0))</x:f>
        <x:v>300</x:v>
      </x:c>
      <x:c r="X32" s="6" t="n">
        <x:f>SUM(R32:W32)</x:f>
        <x:v>8600</x:v>
      </x:c>
      <x:c r="Y32" s="6" t="n">
        <x:f>L32-Q32-X32</x:f>
        <x:v>-6118.344669207536</x:v>
      </x:c>
      <x:c r="Z32" s="6" t="n">
        <x:f>0</x:f>
        <x:v>0</x:v>
      </x:c>
      <x:c r="AA32" s="6" t="n">
        <x:f>Y32-Z32</x:f>
        <x:v>-6118.344669207536</x:v>
      </x:c>
      <x:c r="AB32" s="5" t="n">
        <x:f>1/(1+'01_ASSUMPTIONS'!$E$2)^A32</x:f>
        <x:v>0.5618871925545103</x:v>
      </x:c>
      <x:c r="AC32" s="6" t="n">
        <x:f>AA32*AB32</x:f>
        <x:v>-3437.819509261876</x:v>
      </x:c>
      <x:c r="AD32" s="6" t="n">
        <x:f>AD31+AA32</x:f>
        <x:v>-242800.6112088308</x:v>
      </x:c>
      <x:c r="AE32" t="str">
        <x:f>IF(Y32&gt;=0,"Yes","No")</x:f>
        <x:v>No</x:v>
      </x:c>
      <x:c r="AF32" t="str">
        <x:f>IF(AD32&gt;=0,"Yes","No")</x:f>
        <x:v>No</x:v>
      </x:c>
    </x:row>
    <x:row r="33">
      <x:c r="A33" t="n">
        <x:f>32</x:f>
        <x:v>32</x:v>
      </x:c>
      <x:c r="B33" s="7" t="n">
        <x:f>B32*(1-INDEX('01_ASSUMPTIONS'!$J$5:$J$39,MATCH("monthly_churn",'01_ASSUMPTIONS'!$B$5:$B$39,0)))+INDEX('01_ASSUMPTIONS'!$J$5:$J$39,MATCH("starter_monthly_acquisition",'01_ASSUMPTIONS'!$B$5:$B$39,0))</x:f>
        <x:v>8.86661967713416</x:v>
      </x:c>
      <x:c r="C33" s="7" t="n">
        <x:f>C32*(1-INDEX('01_ASSUMPTIONS'!$J$5:$J$39,MATCH("monthly_churn",'01_ASSUMPTIONS'!$B$5:$B$39,0)))+INDEX('01_ASSUMPTIONS'!$J$5:$J$39,MATCH("professional_monthly_acquisition",'01_ASSUMPTIONS'!$B$5:$B$39,0))</x:f>
        <x:v>2.8567011579906447</x:v>
      </x:c>
      <x:c r="D33" s="7" t="n">
        <x:f>D32*(1-INDEX('01_ASSUMPTIONS'!$J$5:$J$39,MATCH("monthly_churn",'01_ASSUMPTIONS'!$B$5:$B$39,0)))+INDEX('01_ASSUMPTIONS'!$J$5:$J$39,MATCH("enterprise_monthly_acquisition",'01_ASSUMPTIONS'!$B$5:$B$39,0))</x:f>
        <x:v>0.7141752894976612</x:v>
      </x:c>
      <x:c r="E33" s="7" t="n">
        <x:f>SUM(B33:D33)</x:f>
        <x:v>12.437496124622466</x:v>
      </x:c>
      <x:c r="F33" s="7" t="n">
        <x:f>B33*INDEX('01_ASSUMPTIONS'!$J$5:$J$39,MATCH("starter_studies_per_customer",'01_ASSUMPTIONS'!$B$5:$B$39,0))</x:f>
        <x:v>1152.6605580274409</x:v>
      </x:c>
      <x:c r="G33" s="7" t="n">
        <x:f>C33*INDEX('01_ASSUMPTIONS'!$J$5:$J$39,MATCH("professional_studies_per_customer",'01_ASSUMPTIONS'!$B$5:$B$39,0))</x:f>
        <x:v>1571.1856368948545</x:v>
      </x:c>
      <x:c r="H33" s="7" t="n">
        <x:f>D33*INDEX('01_ASSUMPTIONS'!$J$5:$J$39,MATCH("enterprise_studies_per_customer",'01_ASSUMPTIONS'!$B$5:$B$39,0))</x:f>
        <x:v>1142.680463196258</x:v>
      </x:c>
      <x:c r="I33" s="7" t="n">
        <x:f>SUM(F33:H33)</x:f>
        <x:v>3866.5266581185533</x:v>
      </x:c>
      <x:c r="J33" s="6" t="n">
        <x:f>B33*INDEX('01_ASSUMPTIONS'!$J$5:$J$39,MATCH("starter_fee",'01_ASSUMPTIONS'!$B$5:$B$39,0))+C33*INDEX('01_ASSUMPTIONS'!$J$5:$J$39,MATCH("professional_fee",'01_ASSUMPTIONS'!$B$5:$B$39,0))+D33*INDEX('01_ASSUMPTIONS'!$J$5:$J$39,MATCH("enterprise_fee",'01_ASSUMPTIONS'!$B$5:$B$39,0))</x:f>
        <x:v>13104.482461805002</x:v>
      </x:c>
      <x:c r="K33" s="6" t="n">
        <x:f>MAX(F33-B33*INDEX('01_ASSUMPTIONS'!$J$5:$J$39,MATCH("starter_included_studies",'01_ASSUMPTIONS'!$B$5:$B$39,0)),0)*INDEX('01_ASSUMPTIONS'!$J$5:$J$39,MATCH("starter_overage_fee",'01_ASSUMPTIONS'!$B$5:$B$39,0))+MAX(G33-C33*INDEX('01_ASSUMPTIONS'!$J$5:$J$39,MATCH("professional_included_studies",'01_ASSUMPTIONS'!$B$5:$B$39,0)),0)*INDEX('01_ASSUMPTIONS'!$J$5:$J$39,MATCH("professional_overage_fee",'01_ASSUMPTIONS'!$B$5:$B$39,0))+MAX(H33-D33*INDEX('01_ASSUMPTIONS'!$J$5:$J$39,MATCH("enterprise_included_studies",'01_ASSUMPTIONS'!$B$5:$B$39,0)),0)*INDEX('01_ASSUMPTIONS'!$J$5:$J$39,MATCH("enterprise_overage_fee",'01_ASSUMPTIONS'!$B$5:$B$39,0))</x:f>
        <x:v>1852.0100373669907</x:v>
      </x:c>
      <x:c r="L33" s="6" t="n">
        <x:f>J33+K33</x:f>
        <x:v>14956.492499171993</x:v>
      </x:c>
      <x:c r="M33" s="6" t="n">
        <x:f>I33*INDEX('01_ASSUMPTIONS'!$J$5:$J$39,MATCH("cloud_cost_per_study",'01_ASSUMPTIONS'!$B$5:$B$39,0))</x:f>
        <x:v>5799.78998717783</x:v>
      </x:c>
      <x:c r="N33" s="6" t="n">
        <x:f>I33*INDEX('01_ASSUMPTIONS'!$J$5:$J$39,MATCH("storage_cost_per_study",'01_ASSUMPTIONS'!$B$5:$B$39,0))</x:f>
        <x:v>850.6358647860817</x:v>
      </x:c>
      <x:c r="O33" s="6" t="n">
        <x:f>I33*INDEX('01_ASSUMPTIONS'!$J$5:$J$39,MATCH("ai_processing_cost_per_study",'01_ASSUMPTIONS'!$B$5:$B$39,0))</x:f>
        <x:v>5026.48465555412</x:v>
      </x:c>
      <x:c r="P33" s="6" t="n">
        <x:f>E33*INDEX('01_ASSUMPTIONS'!$J$5:$J$39,MATCH("variable_support_per_customer",'01_ASSUMPTIONS'!$B$5:$B$39,0))</x:f>
        <x:v>746.249767477348</x:v>
      </x:c>
      <x:c r="Q33" s="6" t="n">
        <x:f>SUM(M33:P33)</x:f>
        <x:v>12423.160274995378</x:v>
      </x:c>
      <x:c r="R33" s="6" t="n">
        <x:f>INDEX('01_ASSUMPTIONS'!$J$5:$J$39,MATCH("fixed_infra",'01_ASSUMPTIONS'!$B$5:$B$39,0))</x:f>
        <x:v>500</x:v>
      </x:c>
      <x:c r="S33" s="6" t="n">
        <x:f>INDEX('01_ASSUMPTIONS'!$J$5:$J$39,MATCH("software_maintenance",'01_ASSUMPTIONS'!$B$5:$B$39,0))</x:f>
        <x:v>5000</x:v>
      </x:c>
      <x:c r="T33" s="6" t="n">
        <x:f>INDEX('01_ASSUMPTIONS'!$J$5:$J$39,MATCH("base_support",'01_ASSUMPTIONS'!$B$5:$B$39,0))</x:f>
        <x:v>1200</x:v>
      </x:c>
      <x:c r="U33" s="6" t="n">
        <x:f>INDEX('01_ASSUMPTIONS'!$J$5:$J$39,MATCH("admin",'01_ASSUMPTIONS'!$B$5:$B$39,0))</x:f>
        <x:v>600</x:v>
      </x:c>
      <x:c r="V33" s="6" t="n">
        <x:f>INDEX('01_ASSUMPTIONS'!$J$5:$J$39,MATCH("commercial_marketing",'01_ASSUMPTIONS'!$B$5:$B$39,0))</x:f>
        <x:v>1000</x:v>
      </x:c>
      <x:c r="W33" s="6" t="n">
        <x:f>INDEX('01_ASSUMPTIONS'!$J$5:$J$39,MATCH("other_fixed",'01_ASSUMPTIONS'!$B$5:$B$39,0))</x:f>
        <x:v>300</x:v>
      </x:c>
      <x:c r="X33" s="6" t="n">
        <x:f>SUM(R33:W33)</x:f>
        <x:v>8600</x:v>
      </x:c>
      <x:c r="Y33" s="6" t="n">
        <x:f>L33-Q33-X33</x:f>
        <x:v>-6066.667775823385</x:v>
      </x:c>
      <x:c r="Z33" s="6" t="n">
        <x:f>0</x:f>
        <x:v>0</x:v>
      </x:c>
      <x:c r="AA33" s="6" t="n">
        <x:f>Y33-Z33</x:f>
        <x:v>-6066.667775823385</x:v>
      </x:c>
      <x:c r="AB33" s="5" t="n">
        <x:f>1/(1+'01_ASSUMPTIONS'!$E$2)^A33</x:f>
        <x:v>0.5515352806481607</x:v>
      </x:c>
      <x:c r="AC33" s="6" t="n">
        <x:f>AA33*AB33</x:f>
        <x:v>-3345.9813143379038</x:v>
      </x:c>
      <x:c r="AD33" s="6" t="n">
        <x:f>AD32+AA33</x:f>
        <x:v>-248867.27898465417</x:v>
      </x:c>
      <x:c r="AE33" t="str">
        <x:f>IF(Y33&gt;=0,"Yes","No")</x:f>
        <x:v>No</x:v>
      </x:c>
      <x:c r="AF33" t="str">
        <x:f>IF(AD33&gt;=0,"Yes","No")</x:f>
        <x:v>No</x:v>
      </x:c>
    </x:row>
    <x:row r="34">
      <x:c r="A34" t="n">
        <x:f>33</x:f>
        <x:v>33</x:v>
      </x:c>
      <x:c r="B34" s="7" t="n">
        <x:f>B33*(1-INDEX('01_ASSUMPTIONS'!$J$5:$J$39,MATCH("monthly_churn",'01_ASSUMPTIONS'!$B$5:$B$39,0)))+INDEX('01_ASSUMPTIONS'!$J$5:$J$39,MATCH("starter_monthly_acquisition",'01_ASSUMPTIONS'!$B$5:$B$39,0))</x:f>
        <x:v>9.039287283591477</x:v>
      </x:c>
      <x:c r="C34" s="7" t="n">
        <x:f>C33*(1-INDEX('01_ASSUMPTIONS'!$J$5:$J$39,MATCH("monthly_churn",'01_ASSUMPTIONS'!$B$5:$B$39,0)))+INDEX('01_ASSUMPTIONS'!$J$5:$J$39,MATCH("professional_monthly_acquisition",'01_ASSUMPTIONS'!$B$5:$B$39,0))</x:f>
        <x:v>2.919567134830832</x:v>
      </x:c>
      <x:c r="D34" s="7" t="n">
        <x:f>D33*(1-INDEX('01_ASSUMPTIONS'!$J$5:$J$39,MATCH("monthly_churn",'01_ASSUMPTIONS'!$B$5:$B$39,0)))+INDEX('01_ASSUMPTIONS'!$J$5:$J$39,MATCH("enterprise_monthly_acquisition",'01_ASSUMPTIONS'!$B$5:$B$39,0))</x:f>
        <x:v>0.729891783707708</x:v>
      </x:c>
      <x:c r="E34" s="7" t="n">
        <x:f>SUM(B34:D34)</x:f>
        <x:v>12.688746202130018</x:v>
      </x:c>
      <x:c r="F34" s="7" t="n">
        <x:f>B34*INDEX('01_ASSUMPTIONS'!$J$5:$J$39,MATCH("starter_studies_per_customer",'01_ASSUMPTIONS'!$B$5:$B$39,0))</x:f>
        <x:v>1175.107346866892</x:v>
      </x:c>
      <x:c r="G34" s="7" t="n">
        <x:f>C34*INDEX('01_ASSUMPTIONS'!$J$5:$J$39,MATCH("professional_studies_per_customer",'01_ASSUMPTIONS'!$B$5:$B$39,0))</x:f>
        <x:v>1605.7619241569575</x:v>
      </x:c>
      <x:c r="H34" s="7" t="n">
        <x:f>D34*INDEX('01_ASSUMPTIONS'!$J$5:$J$39,MATCH("enterprise_studies_per_customer",'01_ASSUMPTIONS'!$B$5:$B$39,0))</x:f>
        <x:v>1167.8268539323328</x:v>
      </x:c>
      <x:c r="I34" s="7" t="n">
        <x:f>SUM(F34:H34)</x:f>
        <x:v>3948.696124956182</x:v>
      </x:c>
      <x:c r="J34" s="6" t="n">
        <x:f>B34*INDEX('01_ASSUMPTIONS'!$J$5:$J$39,MATCH("starter_fee",'01_ASSUMPTIONS'!$B$5:$B$39,0))+C34*INDEX('01_ASSUMPTIONS'!$J$5:$J$39,MATCH("professional_fee",'01_ASSUMPTIONS'!$B$5:$B$39,0))+D34*INDEX('01_ASSUMPTIONS'!$J$5:$J$39,MATCH("enterprise_fee",'01_ASSUMPTIONS'!$B$5:$B$39,0))</x:f>
        <x:v>13379.392812568905</x:v>
      </x:c>
      <x:c r="K34" s="6" t="n">
        <x:f>MAX(F34-B34*INDEX('01_ASSUMPTIONS'!$J$5:$J$39,MATCH("starter_included_studies",'01_ASSUMPTIONS'!$B$5:$B$39,0)),0)*INDEX('01_ASSUMPTIONS'!$J$5:$J$39,MATCH("starter_overage_fee",'01_ASSUMPTIONS'!$B$5:$B$39,0))+MAX(G34-C34*INDEX('01_ASSUMPTIONS'!$J$5:$J$39,MATCH("professional_included_studies",'01_ASSUMPTIONS'!$B$5:$B$39,0)),0)*INDEX('01_ASSUMPTIONS'!$J$5:$J$39,MATCH("professional_overage_fee",'01_ASSUMPTIONS'!$B$5:$B$39,0))+MAX(H34-D34*INDEX('01_ASSUMPTIONS'!$J$5:$J$39,MATCH("enterprise_included_studies",'01_ASSUMPTIONS'!$B$5:$B$39,0)),0)*INDEX('01_ASSUMPTIONS'!$J$5:$J$39,MATCH("enterprise_overage_fee",'01_ASSUMPTIONS'!$B$5:$B$39,0))</x:f>
        <x:v>1890.9698366196499</x:v>
      </x:c>
      <x:c r="L34" s="6" t="n">
        <x:f>J34+K34</x:f>
        <x:v>15270.362649188555</x:v>
      </x:c>
      <x:c r="M34" s="6" t="n">
        <x:f>I34*INDEX('01_ASSUMPTIONS'!$J$5:$J$39,MATCH("cloud_cost_per_study",'01_ASSUMPTIONS'!$B$5:$B$39,0))</x:f>
        <x:v>5923.044187434272</x:v>
      </x:c>
      <x:c r="N34" s="6" t="n">
        <x:f>I34*INDEX('01_ASSUMPTIONS'!$J$5:$J$39,MATCH("storage_cost_per_study",'01_ASSUMPTIONS'!$B$5:$B$39,0))</x:f>
        <x:v>868.71314749036</x:v>
      </x:c>
      <x:c r="O34" s="6" t="n">
        <x:f>I34*INDEX('01_ASSUMPTIONS'!$J$5:$J$39,MATCH("ai_processing_cost_per_study",'01_ASSUMPTIONS'!$B$5:$B$39,0))</x:f>
        <x:v>5133.304962443037</x:v>
      </x:c>
      <x:c r="P34" s="6" t="n">
        <x:f>E34*INDEX('01_ASSUMPTIONS'!$J$5:$J$39,MATCH("variable_support_per_customer",'01_ASSUMPTIONS'!$B$5:$B$39,0))</x:f>
        <x:v>761.3247721278011</x:v>
      </x:c>
      <x:c r="Q34" s="6" t="n">
        <x:f>SUM(M34:P34)</x:f>
        <x:v>12686.38706949547</x:v>
      </x:c>
      <x:c r="R34" s="6" t="n">
        <x:f>INDEX('01_ASSUMPTIONS'!$J$5:$J$39,MATCH("fixed_infra",'01_ASSUMPTIONS'!$B$5:$B$39,0))</x:f>
        <x:v>500</x:v>
      </x:c>
      <x:c r="S34" s="6" t="n">
        <x:f>INDEX('01_ASSUMPTIONS'!$J$5:$J$39,MATCH("software_maintenance",'01_ASSUMPTIONS'!$B$5:$B$39,0))</x:f>
        <x:v>5000</x:v>
      </x:c>
      <x:c r="T34" s="6" t="n">
        <x:f>INDEX('01_ASSUMPTIONS'!$J$5:$J$39,MATCH("base_support",'01_ASSUMPTIONS'!$B$5:$B$39,0))</x:f>
        <x:v>1200</x:v>
      </x:c>
      <x:c r="U34" s="6" t="n">
        <x:f>INDEX('01_ASSUMPTIONS'!$J$5:$J$39,MATCH("admin",'01_ASSUMPTIONS'!$B$5:$B$39,0))</x:f>
        <x:v>600</x:v>
      </x:c>
      <x:c r="V34" s="6" t="n">
        <x:f>INDEX('01_ASSUMPTIONS'!$J$5:$J$39,MATCH("commercial_marketing",'01_ASSUMPTIONS'!$B$5:$B$39,0))</x:f>
        <x:v>1000</x:v>
      </x:c>
      <x:c r="W34" s="6" t="n">
        <x:f>INDEX('01_ASSUMPTIONS'!$J$5:$J$39,MATCH("other_fixed",'01_ASSUMPTIONS'!$B$5:$B$39,0))</x:f>
        <x:v>300</x:v>
      </x:c>
      <x:c r="X34" s="6" t="n">
        <x:f>SUM(R34:W34)</x:f>
        <x:v>8600</x:v>
      </x:c>
      <x:c r="Y34" s="6" t="n">
        <x:f>L34-Q34-X34</x:f>
        <x:v>-6016.024420306914</x:v>
      </x:c>
      <x:c r="Z34" s="6" t="n">
        <x:f>0</x:f>
        <x:v>0</x:v>
      </x:c>
      <x:c r="AA34" s="6" t="n">
        <x:f>Y34-Z34</x:f>
        <x:v>-6016.024420306914</x:v>
      </x:c>
      <x:c r="AB34" s="5" t="n">
        <x:f>1/(1+'01_ASSUMPTIONS'!$E$2)^A34</x:f>
        <x:v>0.5413740868815672</x:v>
      </x:c>
      <x:c r="AC34" s="6" t="n">
        <x:f>AA34*AB34</x:f>
        <x:v>-3256.919727200865</x:v>
      </x:c>
      <x:c r="AD34" s="6" t="n">
        <x:f>AD33+AA34</x:f>
        <x:v>-254883.30340496107</x:v>
      </x:c>
      <x:c r="AE34" t="str">
        <x:f>IF(Y34&gt;=0,"Yes","No")</x:f>
        <x:v>No</x:v>
      </x:c>
      <x:c r="AF34" t="str">
        <x:f>IF(AD34&gt;=0,"Yes","No")</x:f>
        <x:v>No</x:v>
      </x:c>
    </x:row>
    <x:row r="35">
      <x:c r="A35" t="n">
        <x:f>34</x:f>
        <x:v>34</x:v>
      </x:c>
      <x:c r="B35" s="7" t="n">
        <x:f>B34*(1-INDEX('01_ASSUMPTIONS'!$J$5:$J$39,MATCH("monthly_churn",'01_ASSUMPTIONS'!$B$5:$B$39,0)))+INDEX('01_ASSUMPTIONS'!$J$5:$J$39,MATCH("starter_monthly_acquisition",'01_ASSUMPTIONS'!$B$5:$B$39,0))</x:f>
        <x:v>9.208501537919647</x:v>
      </x:c>
      <x:c r="C35" s="7" t="n">
        <x:f>C34*(1-INDEX('01_ASSUMPTIONS'!$J$5:$J$39,MATCH("monthly_churn",'01_ASSUMPTIONS'!$B$5:$B$39,0)))+INDEX('01_ASSUMPTIONS'!$J$5:$J$39,MATCH("professional_monthly_acquisition",'01_ASSUMPTIONS'!$B$5:$B$39,0))</x:f>
        <x:v>2.9811757921342155</x:v>
      </x:c>
      <x:c r="D35" s="7" t="n">
        <x:f>D34*(1-INDEX('01_ASSUMPTIONS'!$J$5:$J$39,MATCH("monthly_churn",'01_ASSUMPTIONS'!$B$5:$B$39,0)))+INDEX('01_ASSUMPTIONS'!$J$5:$J$39,MATCH("enterprise_monthly_acquisition",'01_ASSUMPTIONS'!$B$5:$B$39,0))</x:f>
        <x:v>0.7452939480335539</x:v>
      </x:c>
      <x:c r="E35" s="7" t="n">
        <x:f>SUM(B35:D35)</x:f>
        <x:v>12.934971278087415</x:v>
      </x:c>
      <x:c r="F35" s="7" t="n">
        <x:f>B35*INDEX('01_ASSUMPTIONS'!$J$5:$J$39,MATCH("starter_studies_per_customer",'01_ASSUMPTIONS'!$B$5:$B$39,0))</x:f>
        <x:v>1197.1051999295541</x:v>
      </x:c>
      <x:c r="G35" s="7" t="n">
        <x:f>C35*INDEX('01_ASSUMPTIONS'!$J$5:$J$39,MATCH("professional_studies_per_customer",'01_ASSUMPTIONS'!$B$5:$B$39,0))</x:f>
        <x:v>1639.6466856738184</x:v>
      </x:c>
      <x:c r="H35" s="7" t="n">
        <x:f>D35*INDEX('01_ASSUMPTIONS'!$J$5:$J$39,MATCH("enterprise_studies_per_customer",'01_ASSUMPTIONS'!$B$5:$B$39,0))</x:f>
        <x:v>1192.4703168536862</x:v>
      </x:c>
      <x:c r="I35" s="7" t="n">
        <x:f>SUM(F35:H35)</x:f>
        <x:v>4029.2222024570588</x:v>
      </x:c>
      <x:c r="J35" s="6" t="n">
        <x:f>B35*INDEX('01_ASSUMPTIONS'!$J$5:$J$39,MATCH("starter_fee",'01_ASSUMPTIONS'!$B$5:$B$39,0))+C35*INDEX('01_ASSUMPTIONS'!$J$5:$J$39,MATCH("professional_fee",'01_ASSUMPTIONS'!$B$5:$B$39,0))+D35*INDEX('01_ASSUMPTIONS'!$J$5:$J$39,MATCH("enterprise_fee",'01_ASSUMPTIONS'!$B$5:$B$39,0))</x:f>
        <x:v>13648.804956317525</x:v>
      </x:c>
      <x:c r="K35" s="6" t="n">
        <x:f>MAX(F35-B35*INDEX('01_ASSUMPTIONS'!$J$5:$J$39,MATCH("starter_included_studies",'01_ASSUMPTIONS'!$B$5:$B$39,0)),0)*INDEX('01_ASSUMPTIONS'!$J$5:$J$39,MATCH("starter_overage_fee",'01_ASSUMPTIONS'!$B$5:$B$39,0))+MAX(G35-C35*INDEX('01_ASSUMPTIONS'!$J$5:$J$39,MATCH("professional_included_studies",'01_ASSUMPTIONS'!$B$5:$B$39,0)),0)*INDEX('01_ASSUMPTIONS'!$J$5:$J$39,MATCH("professional_overage_fee",'01_ASSUMPTIONS'!$B$5:$B$39,0))+MAX(H35-D35*INDEX('01_ASSUMPTIONS'!$J$5:$J$39,MATCH("enterprise_included_studies",'01_ASSUMPTIONS'!$B$5:$B$39,0)),0)*INDEX('01_ASSUMPTIONS'!$J$5:$J$39,MATCH("enterprise_overage_fee",'01_ASSUMPTIONS'!$B$5:$B$39,0))</x:f>
        <x:v>1929.150439887259</x:v>
      </x:c>
      <x:c r="L35" s="6" t="n">
        <x:f>J35+K35</x:f>
        <x:v>15577.955396204783</x:v>
      </x:c>
      <x:c r="M35" s="6" t="n">
        <x:f>I35*INDEX('01_ASSUMPTIONS'!$J$5:$J$39,MATCH("cloud_cost_per_study",'01_ASSUMPTIONS'!$B$5:$B$39,0))</x:f>
        <x:v>6043.833303685588</x:v>
      </x:c>
      <x:c r="N35" s="6" t="n">
        <x:f>I35*INDEX('01_ASSUMPTIONS'!$J$5:$J$39,MATCH("storage_cost_per_study",'01_ASSUMPTIONS'!$B$5:$B$39,0))</x:f>
        <x:v>886.428884540553</x:v>
      </x:c>
      <x:c r="O35" s="6" t="n">
        <x:f>I35*INDEX('01_ASSUMPTIONS'!$J$5:$J$39,MATCH("ai_processing_cost_per_study",'01_ASSUMPTIONS'!$B$5:$B$39,0))</x:f>
        <x:v>5237.988863194177</x:v>
      </x:c>
      <x:c r="P35" s="6" t="n">
        <x:f>E35*INDEX('01_ASSUMPTIONS'!$J$5:$J$39,MATCH("variable_support_per_customer",'01_ASSUMPTIONS'!$B$5:$B$39,0))</x:f>
        <x:v>776.098276685245</x:v>
      </x:c>
      <x:c r="Q35" s="6" t="n">
        <x:f>SUM(M35:P35)</x:f>
        <x:v>12944.349328105562</x:v>
      </x:c>
      <x:c r="R35" s="6" t="n">
        <x:f>INDEX('01_ASSUMPTIONS'!$J$5:$J$39,MATCH("fixed_infra",'01_ASSUMPTIONS'!$B$5:$B$39,0))</x:f>
        <x:v>500</x:v>
      </x:c>
      <x:c r="S35" s="6" t="n">
        <x:f>INDEX('01_ASSUMPTIONS'!$J$5:$J$39,MATCH("software_maintenance",'01_ASSUMPTIONS'!$B$5:$B$39,0))</x:f>
        <x:v>5000</x:v>
      </x:c>
      <x:c r="T35" s="6" t="n">
        <x:f>INDEX('01_ASSUMPTIONS'!$J$5:$J$39,MATCH("base_support",'01_ASSUMPTIONS'!$B$5:$B$39,0))</x:f>
        <x:v>1200</x:v>
      </x:c>
      <x:c r="U35" s="6" t="n">
        <x:f>INDEX('01_ASSUMPTIONS'!$J$5:$J$39,MATCH("admin",'01_ASSUMPTIONS'!$B$5:$B$39,0))</x:f>
        <x:v>600</x:v>
      </x:c>
      <x:c r="V35" s="6" t="n">
        <x:f>INDEX('01_ASSUMPTIONS'!$J$5:$J$39,MATCH("commercial_marketing",'01_ASSUMPTIONS'!$B$5:$B$39,0))</x:f>
        <x:v>1000</x:v>
      </x:c>
      <x:c r="W35" s="6" t="n">
        <x:f>INDEX('01_ASSUMPTIONS'!$J$5:$J$39,MATCH("other_fixed",'01_ASSUMPTIONS'!$B$5:$B$39,0))</x:f>
        <x:v>300</x:v>
      </x:c>
      <x:c r="X35" s="6" t="n">
        <x:f>SUM(R35:W35)</x:f>
        <x:v>8600</x:v>
      </x:c>
      <x:c r="Y35" s="6" t="n">
        <x:f>L35-Q35-X35</x:f>
        <x:v>-5966.393931900779</x:v>
      </x:c>
      <x:c r="Z35" s="6" t="n">
        <x:f>0</x:f>
        <x:v>0</x:v>
      </x:c>
      <x:c r="AA35" s="6" t="n">
        <x:f>Y35-Z35</x:f>
        <x:v>-5966.393931900779</x:v>
      </x:c>
      <x:c r="AB35" s="5" t="n">
        <x:f>1/(1+'01_ASSUMPTIONS'!$E$2)^A35</x:f>
        <x:v>0.5314000975647797</x:v>
      </x:c>
      <x:c r="AC35" s="6" t="n">
        <x:f>AA35*AB35</x:f>
        <x:v>-3170.542317521983</x:v>
      </x:c>
      <x:c r="AD35" s="6" t="n">
        <x:f>AD34+AA35</x:f>
        <x:v>-260849.69733686186</x:v>
      </x:c>
      <x:c r="AE35" t="str">
        <x:f>IF(Y35&gt;=0,"Yes","No")</x:f>
        <x:v>No</x:v>
      </x:c>
      <x:c r="AF35" t="str">
        <x:f>IF(AD35&gt;=0,"Yes","No")</x:f>
        <x:v>No</x:v>
      </x:c>
    </x:row>
    <x:row r="36">
      <x:c r="A36" t="n">
        <x:f>35</x:f>
        <x:v>35</x:v>
      </x:c>
      <x:c r="B36" s="7" t="n">
        <x:f>B35*(1-INDEX('01_ASSUMPTIONS'!$J$5:$J$39,MATCH("monthly_churn",'01_ASSUMPTIONS'!$B$5:$B$39,0)))+INDEX('01_ASSUMPTIONS'!$J$5:$J$39,MATCH("starter_monthly_acquisition",'01_ASSUMPTIONS'!$B$5:$B$39,0))</x:f>
        <x:v>9.374331507161253</x:v>
      </x:c>
      <x:c r="C36" s="7" t="n">
        <x:f>C35*(1-INDEX('01_ASSUMPTIONS'!$J$5:$J$39,MATCH("monthly_churn",'01_ASSUMPTIONS'!$B$5:$B$39,0)))+INDEX('01_ASSUMPTIONS'!$J$5:$J$39,MATCH("professional_monthly_acquisition",'01_ASSUMPTIONS'!$B$5:$B$39,0))</x:f>
        <x:v>3.0415522762915312</x:v>
      </x:c>
      <x:c r="D36" s="7" t="n">
        <x:f>D35*(1-INDEX('01_ASSUMPTIONS'!$J$5:$J$39,MATCH("monthly_churn",'01_ASSUMPTIONS'!$B$5:$B$39,0)))+INDEX('01_ASSUMPTIONS'!$J$5:$J$39,MATCH("enterprise_monthly_acquisition",'01_ASSUMPTIONS'!$B$5:$B$39,0))</x:f>
        <x:v>0.7603880690728828</x:v>
      </x:c>
      <x:c r="E36" s="7" t="n">
        <x:f>SUM(B36:D36)</x:f>
        <x:v>13.176271852525668</x:v>
      </x:c>
      <x:c r="F36" s="7" t="n">
        <x:f>B36*INDEX('01_ASSUMPTIONS'!$J$5:$J$39,MATCH("starter_studies_per_customer",'01_ASSUMPTIONS'!$B$5:$B$39,0))</x:f>
        <x:v>1218.663095930963</x:v>
      </x:c>
      <x:c r="G36" s="7" t="n">
        <x:f>C36*INDEX('01_ASSUMPTIONS'!$J$5:$J$39,MATCH("professional_studies_per_customer",'01_ASSUMPTIONS'!$B$5:$B$39,0))</x:f>
        <x:v>1672.8537519603422</x:v>
      </x:c>
      <x:c r="H36" s="7" t="n">
        <x:f>D36*INDEX('01_ASSUMPTIONS'!$J$5:$J$39,MATCH("enterprise_studies_per_customer",'01_ASSUMPTIONS'!$B$5:$B$39,0))</x:f>
        <x:v>1216.6209105166124</x:v>
      </x:c>
      <x:c r="I36" s="7" t="n">
        <x:f>SUM(F36:H36)</x:f>
        <x:v>4108.137758407917</x:v>
      </x:c>
      <x:c r="J36" s="6" t="n">
        <x:f>B36*INDEX('01_ASSUMPTIONS'!$J$5:$J$39,MATCH("starter_fee",'01_ASSUMPTIONS'!$B$5:$B$39,0))+C36*INDEX('01_ASSUMPTIONS'!$J$5:$J$39,MATCH("professional_fee",'01_ASSUMPTIONS'!$B$5:$B$39,0))+D36*INDEX('01_ASSUMPTIONS'!$J$5:$J$39,MATCH("enterprise_fee",'01_ASSUMPTIONS'!$B$5:$B$39,0))</x:f>
        <x:v>13912.828857191176</x:v>
      </x:c>
      <x:c r="K36" s="6" t="n">
        <x:f>MAX(F36-B36*INDEX('01_ASSUMPTIONS'!$J$5:$J$39,MATCH("starter_included_studies",'01_ASSUMPTIONS'!$B$5:$B$39,0)),0)*INDEX('01_ASSUMPTIONS'!$J$5:$J$39,MATCH("starter_overage_fee",'01_ASSUMPTIONS'!$B$5:$B$39,0))+MAX(G36-C36*INDEX('01_ASSUMPTIONS'!$J$5:$J$39,MATCH("professional_included_studies",'01_ASSUMPTIONS'!$B$5:$B$39,0)),0)*INDEX('01_ASSUMPTIONS'!$J$5:$J$39,MATCH("professional_overage_fee",'01_ASSUMPTIONS'!$B$5:$B$39,0))+MAX(H36-D36*INDEX('01_ASSUMPTIONS'!$J$5:$J$39,MATCH("enterprise_included_studies",'01_ASSUMPTIONS'!$B$5:$B$39,0)),0)*INDEX('01_ASSUMPTIONS'!$J$5:$J$39,MATCH("enterprise_overage_fee",'01_ASSUMPTIONS'!$B$5:$B$39,0))</x:f>
        <x:v>1966.5674310895138</x:v>
      </x:c>
      <x:c r="L36" s="6" t="n">
        <x:f>J36+K36</x:f>
        <x:v>15879.39628828069</x:v>
      </x:c>
      <x:c r="M36" s="6" t="n">
        <x:f>I36*INDEX('01_ASSUMPTIONS'!$J$5:$J$39,MATCH("cloud_cost_per_study",'01_ASSUMPTIONS'!$B$5:$B$39,0))</x:f>
        <x:v>6162.206637611876</x:v>
      </x:c>
      <x:c r="N36" s="6" t="n">
        <x:f>I36*INDEX('01_ASSUMPTIONS'!$J$5:$J$39,MATCH("storage_cost_per_study",'01_ASSUMPTIONS'!$B$5:$B$39,0))</x:f>
        <x:v>903.7903068497418</x:v>
      </x:c>
      <x:c r="O36" s="6" t="n">
        <x:f>I36*INDEX('01_ASSUMPTIONS'!$J$5:$J$39,MATCH("ai_processing_cost_per_study",'01_ASSUMPTIONS'!$B$5:$B$39,0))</x:f>
        <x:v>5340.579085930292</x:v>
      </x:c>
      <x:c r="P36" s="6" t="n">
        <x:f>E36*INDEX('01_ASSUMPTIONS'!$J$5:$J$39,MATCH("variable_support_per_customer",'01_ASSUMPTIONS'!$B$5:$B$39,0))</x:f>
        <x:v>790.57631115154</x:v>
      </x:c>
      <x:c r="Q36" s="6" t="n">
        <x:f>SUM(M36:P36)</x:f>
        <x:v>13197.152341543451</x:v>
      </x:c>
      <x:c r="R36" s="6" t="n">
        <x:f>INDEX('01_ASSUMPTIONS'!$J$5:$J$39,MATCH("fixed_infra",'01_ASSUMPTIONS'!$B$5:$B$39,0))</x:f>
        <x:v>500</x:v>
      </x:c>
      <x:c r="S36" s="6" t="n">
        <x:f>INDEX('01_ASSUMPTIONS'!$J$5:$J$39,MATCH("software_maintenance",'01_ASSUMPTIONS'!$B$5:$B$39,0))</x:f>
        <x:v>5000</x:v>
      </x:c>
      <x:c r="T36" s="6" t="n">
        <x:f>INDEX('01_ASSUMPTIONS'!$J$5:$J$39,MATCH("base_support",'01_ASSUMPTIONS'!$B$5:$B$39,0))</x:f>
        <x:v>1200</x:v>
      </x:c>
      <x:c r="U36" s="6" t="n">
        <x:f>INDEX('01_ASSUMPTIONS'!$J$5:$J$39,MATCH("admin",'01_ASSUMPTIONS'!$B$5:$B$39,0))</x:f>
        <x:v>600</x:v>
      </x:c>
      <x:c r="V36" s="6" t="n">
        <x:f>INDEX('01_ASSUMPTIONS'!$J$5:$J$39,MATCH("commercial_marketing",'01_ASSUMPTIONS'!$B$5:$B$39,0))</x:f>
        <x:v>1000</x:v>
      </x:c>
      <x:c r="W36" s="6" t="n">
        <x:f>INDEX('01_ASSUMPTIONS'!$J$5:$J$39,MATCH("other_fixed",'01_ASSUMPTIONS'!$B$5:$B$39,0))</x:f>
        <x:v>300</x:v>
      </x:c>
      <x:c r="X36" s="6" t="n">
        <x:f>SUM(R36:W36)</x:f>
        <x:v>8600</x:v>
      </x:c>
      <x:c r="Y36" s="6" t="n">
        <x:f>L36-Q36-X36</x:f>
        <x:v>-5917.756053262761</x:v>
      </x:c>
      <x:c r="Z36" s="6" t="n">
        <x:f>0</x:f>
        <x:v>0</x:v>
      </x:c>
      <x:c r="AA36" s="6" t="n">
        <x:f>Y36-Z36</x:f>
        <x:v>-5917.756053262761</x:v>
      </x:c>
      <x:c r="AB36" s="5" t="n">
        <x:f>1/(1+'01_ASSUMPTIONS'!$E$2)^A36</x:f>
        <x:v>0.5216098637422095</x:v>
      </x:c>
      <x:c r="AC36" s="6" t="n">
        <x:f>AA36*AB36</x:f>
        <x:v>-3086.7599286020245</x:v>
      </x:c>
      <x:c r="AD36" s="6" t="n">
        <x:f>AD35+AA36</x:f>
        <x:v>-266767.4533901246</x:v>
      </x:c>
      <x:c r="AE36" t="str">
        <x:f>IF(Y36&gt;=0,"Yes","No")</x:f>
        <x:v>No</x:v>
      </x:c>
      <x:c r="AF36" t="str">
        <x:f>IF(AD36&gt;=0,"Yes","No")</x:f>
        <x:v>No</x:v>
      </x:c>
    </x:row>
    <x:row r="37">
      <x:c r="A37" t="n">
        <x:f>36</x:f>
        <x:v>36</x:v>
      </x:c>
      <x:c r="B37" s="7" t="n">
        <x:f>B36*(1-INDEX('01_ASSUMPTIONS'!$J$5:$J$39,MATCH("monthly_churn",'01_ASSUMPTIONS'!$B$5:$B$39,0)))+INDEX('01_ASSUMPTIONS'!$J$5:$J$39,MATCH("starter_monthly_acquisition",'01_ASSUMPTIONS'!$B$5:$B$39,0))</x:f>
        <x:v>9.536844877018028</x:v>
      </x:c>
      <x:c r="C37" s="7" t="n">
        <x:f>C36*(1-INDEX('01_ASSUMPTIONS'!$J$5:$J$39,MATCH("monthly_churn",'01_ASSUMPTIONS'!$B$5:$B$39,0)))+INDEX('01_ASSUMPTIONS'!$J$5:$J$39,MATCH("professional_monthly_acquisition",'01_ASSUMPTIONS'!$B$5:$B$39,0))</x:f>
        <x:v>3.100721230765701</x:v>
      </x:c>
      <x:c r="D37" s="7" t="n">
        <x:f>D36*(1-INDEX('01_ASSUMPTIONS'!$J$5:$J$39,MATCH("monthly_churn",'01_ASSUMPTIONS'!$B$5:$B$39,0)))+INDEX('01_ASSUMPTIONS'!$J$5:$J$39,MATCH("enterprise_monthly_acquisition",'01_ASSUMPTIONS'!$B$5:$B$39,0))</x:f>
        <x:v>0.7751803076914252</x:v>
      </x:c>
      <x:c r="E37" s="7" t="n">
        <x:f>SUM(B37:D37)</x:f>
        <x:v>13.412746415475155</x:v>
      </x:c>
      <x:c r="F37" s="7" t="n">
        <x:f>B37*INDEX('01_ASSUMPTIONS'!$J$5:$J$39,MATCH("starter_studies_per_customer",'01_ASSUMPTIONS'!$B$5:$B$39,0))</x:f>
        <x:v>1239.7898340123436</x:v>
      </x:c>
      <x:c r="G37" s="7" t="n">
        <x:f>C37*INDEX('01_ASSUMPTIONS'!$J$5:$J$39,MATCH("professional_studies_per_customer",'01_ASSUMPTIONS'!$B$5:$B$39,0))</x:f>
        <x:v>1705.3966769211354</x:v>
      </x:c>
      <x:c r="H37" s="7" t="n">
        <x:f>D37*INDEX('01_ASSUMPTIONS'!$J$5:$J$39,MATCH("enterprise_studies_per_customer",'01_ASSUMPTIONS'!$B$5:$B$39,0))</x:f>
        <x:v>1240.2884923062804</x:v>
      </x:c>
      <x:c r="I37" s="7" t="n">
        <x:f>SUM(F37:H37)</x:f>
        <x:v>4185.47500323976</x:v>
      </x:c>
      <x:c r="J37" s="6" t="n">
        <x:f>B37*INDEX('01_ASSUMPTIONS'!$J$5:$J$39,MATCH("starter_fee",'01_ASSUMPTIONS'!$B$5:$B$39,0))+C37*INDEX('01_ASSUMPTIONS'!$J$5:$J$39,MATCH("professional_fee",'01_ASSUMPTIONS'!$B$5:$B$39,0))+D37*INDEX('01_ASSUMPTIONS'!$J$5:$J$39,MATCH("enterprise_fee",'01_ASSUMPTIONS'!$B$5:$B$39,0))</x:f>
        <x:v>14171.572280047352</x:v>
      </x:c>
      <x:c r="K37" s="6" t="n">
        <x:f>MAX(F37-B37*INDEX('01_ASSUMPTIONS'!$J$5:$J$39,MATCH("starter_included_studies",'01_ASSUMPTIONS'!$B$5:$B$39,0)),0)*INDEX('01_ASSUMPTIONS'!$J$5:$J$39,MATCH("starter_overage_fee",'01_ASSUMPTIONS'!$B$5:$B$39,0))+MAX(G37-C37*INDEX('01_ASSUMPTIONS'!$J$5:$J$39,MATCH("professional_included_studies",'01_ASSUMPTIONS'!$B$5:$B$39,0)),0)*INDEX('01_ASSUMPTIONS'!$J$5:$J$39,MATCH("professional_overage_fee",'01_ASSUMPTIONS'!$B$5:$B$39,0))+MAX(H37-D37*INDEX('01_ASSUMPTIONS'!$J$5:$J$39,MATCH("enterprise_included_studies",'01_ASSUMPTIONS'!$B$5:$B$39,0)),0)*INDEX('01_ASSUMPTIONS'!$J$5:$J$39,MATCH("enterprise_overage_fee",'01_ASSUMPTIONS'!$B$5:$B$39,0))</x:f>
        <x:v>2003.236082467722</x:v>
      </x:c>
      <x:c r="L37" s="6" t="n">
        <x:f>J37+K37</x:f>
        <x:v>16174.808362515074</x:v>
      </x:c>
      <x:c r="M37" s="6" t="n">
        <x:f>I37*INDEX('01_ASSUMPTIONS'!$J$5:$J$39,MATCH("cloud_cost_per_study",'01_ASSUMPTIONS'!$B$5:$B$39,0))</x:f>
        <x:v>6278.212504859639</x:v>
      </x:c>
      <x:c r="N37" s="6" t="n">
        <x:f>I37*INDEX('01_ASSUMPTIONS'!$J$5:$J$39,MATCH("storage_cost_per_study",'01_ASSUMPTIONS'!$B$5:$B$39,0))</x:f>
        <x:v>920.8045007127471</x:v>
      </x:c>
      <x:c r="O37" s="6" t="n">
        <x:f>I37*INDEX('01_ASSUMPTIONS'!$J$5:$J$39,MATCH("ai_processing_cost_per_study",'01_ASSUMPTIONS'!$B$5:$B$39,0))</x:f>
        <x:v>5441.117504211687</x:v>
      </x:c>
      <x:c r="P37" s="6" t="n">
        <x:f>E37*INDEX('01_ASSUMPTIONS'!$J$5:$J$39,MATCH("variable_support_per_customer",'01_ASSUMPTIONS'!$B$5:$B$39,0))</x:f>
        <x:v>804.7647849285092</x:v>
      </x:c>
      <x:c r="Q37" s="6" t="n">
        <x:f>SUM(M37:P37)</x:f>
        <x:v>13444.899294712584</x:v>
      </x:c>
      <x:c r="R37" s="6" t="n">
        <x:f>INDEX('01_ASSUMPTIONS'!$J$5:$J$39,MATCH("fixed_infra",'01_ASSUMPTIONS'!$B$5:$B$39,0))</x:f>
        <x:v>500</x:v>
      </x:c>
      <x:c r="S37" s="6" t="n">
        <x:f>INDEX('01_ASSUMPTIONS'!$J$5:$J$39,MATCH("software_maintenance",'01_ASSUMPTIONS'!$B$5:$B$39,0))</x:f>
        <x:v>5000</x:v>
      </x:c>
      <x:c r="T37" s="6" t="n">
        <x:f>INDEX('01_ASSUMPTIONS'!$J$5:$J$39,MATCH("base_support",'01_ASSUMPTIONS'!$B$5:$B$39,0))</x:f>
        <x:v>1200</x:v>
      </x:c>
      <x:c r="U37" s="6" t="n">
        <x:f>INDEX('01_ASSUMPTIONS'!$J$5:$J$39,MATCH("admin",'01_ASSUMPTIONS'!$B$5:$B$39,0))</x:f>
        <x:v>600</x:v>
      </x:c>
      <x:c r="V37" s="6" t="n">
        <x:f>INDEX('01_ASSUMPTIONS'!$J$5:$J$39,MATCH("commercial_marketing",'01_ASSUMPTIONS'!$B$5:$B$39,0))</x:f>
        <x:v>1000</x:v>
      </x:c>
      <x:c r="W37" s="6" t="n">
        <x:f>INDEX('01_ASSUMPTIONS'!$J$5:$J$39,MATCH("other_fixed",'01_ASSUMPTIONS'!$B$5:$B$39,0))</x:f>
        <x:v>300</x:v>
      </x:c>
      <x:c r="X37" s="6" t="n">
        <x:f>SUM(R37:W37)</x:f>
        <x:v>8600</x:v>
      </x:c>
      <x:c r="Y37" s="6" t="n">
        <x:f>L37-Q37-X37</x:f>
        <x:v>-5870.0909321975105</x:v>
      </x:c>
      <x:c r="Z37" s="6" t="n">
        <x:f>0</x:f>
        <x:v>0</x:v>
      </x:c>
      <x:c r="AA37" s="6" t="n">
        <x:f>Y37-Z37</x:f>
        <x:v>-5870.0909321975105</x:v>
      </x:c>
      <x:c r="AB37" s="5" t="n">
        <x:f>1/(1+'01_ASSUMPTIONS'!$E$2)^A37</x:f>
        <x:v>0.5119999999999983</x:v>
      </x:c>
      <x:c r="AC37" s="6" t="n">
        <x:f>AA37*AB37</x:f>
        <x:v>-3005.486557285116</x:v>
      </x:c>
      <x:c r="AD37" s="6" t="n">
        <x:f>AD36+AA37</x:f>
        <x:v>-272637.5443223221</x:v>
      </x:c>
      <x:c r="AE37" t="str">
        <x:f>IF(Y37&gt;=0,"Yes","No")</x:f>
        <x:v>No</x:v>
      </x:c>
      <x:c r="AF37" t="str">
        <x:f>IF(AD37&gt;=0,"Yes","No")</x:f>
        <x:v>No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.6299991607666" hidden="0" customWidth="1"/>
    <x:col min="3" max="3" width="36" hidden="0" customWidth="1"/>
  </x:cols>
  <x:sheetData>
    <x:row r="1">
      <x:c r="A1" s="4" t="str">
        <x:v>Metric</x:v>
      </x:c>
      <x:c r="B1" s="4" t="str">
        <x:v>Active scenario value</x:v>
      </x:c>
      <x:c r="C1" s="4" t="str">
        <x:v>Formula / interpretation</x:v>
      </x:c>
    </x:row>
    <x:row r="2">
      <x:c r="A2" t="str">
        <x:v>Active scenario</x:v>
      </x:c>
      <x:c r="B2" t="str">
        <x:f>'01_ASSUMPTIONS'!B2</x:f>
        <x:v>Base</x:v>
      </x:c>
      <x:c r="C2" t="str">
        <x:v>Selected case</x:v>
      </x:c>
    </x:row>
    <x:row r="3">
      <x:c r="A3" t="str">
        <x:v>MRR month 36</x:v>
      </x:c>
      <x:c r="B3" s="6" t="n">
        <x:f>'04_CASH_FLOW'!L37</x:f>
        <x:v>16174.808362515074</x:v>
      </x:c>
      <x:c r="C3" t="str">
        <x:v>Month 36 total revenue</x:v>
      </x:c>
    </x:row>
    <x:row r="4">
      <x:c r="A4" t="str">
        <x:v>ARR run-rate month 36</x:v>
      </x:c>
      <x:c r="B4" s="6" t="n">
        <x:f>B3*12</x:f>
        <x:v>194097.70035018088</x:v>
      </x:c>
      <x:c r="C4" t="str">
        <x:v>MRR x 12</x:v>
      </x:c>
    </x:row>
    <x:row r="5">
      <x:c r="A5" t="str">
        <x:v>Active customers month 36</x:v>
      </x:c>
      <x:c r="B5" s="7" t="n">
        <x:f>'04_CASH_FLOW'!E37</x:f>
        <x:v>13.412746415475155</x:v>
      </x:c>
      <x:c r="C5" t="str">
        <x:v>Total active customers</x:v>
      </x:c>
    </x:row>
    <x:row r="6">
      <x:c r="A6" t="str">
        <x:v>Studies month 36</x:v>
      </x:c>
      <x:c r="B6" s="7" t="n">
        <x:f>'04_CASH_FLOW'!I37</x:f>
        <x:v>4185.47500323976</x:v>
      </x:c>
      <x:c r="C6" t="str">
        <x:v>Total processed studies</x:v>
      </x:c>
    </x:row>
    <x:row r="7">
      <x:c r="A7" t="str">
        <x:v>Gross margin month 36</x:v>
      </x:c>
      <x:c r="B7" s="5" t="n">
        <x:f>('04_CASH_FLOW'!L37-'04_CASH_FLOW'!M37-'04_CASH_FLOW'!N37-'04_CASH_FLOW'!O37)/'04_CASH_FLOW'!L37</x:f>
        <x:v>0.21852956607031984</x:v>
      </x:c>
      <x:c r="C7" t="str">
        <x:v>Revenue less compute/storage/AI variable costs</x:v>
      </x:c>
    </x:row>
    <x:row r="8">
      <x:c r="A8" t="str">
        <x:v>Monthly burn month 1</x:v>
      </x:c>
      <x:c r="B8" s="6" t="n">
        <x:f>-MIN('04_CASH_FLOW'!AA2,0)</x:f>
        <x:v>31271.29</x:v>
      </x:c>
      <x:c r="C8" t="str">
        <x:v>Initial negative net cash flow if any</x:v>
      </x:c>
    </x:row>
    <x:row r="9">
      <x:c r="A9" t="str">
        <x:v>Cumulative cash month 36</x:v>
      </x:c>
      <x:c r="B9" s="6" t="n">
        <x:f>'04_CASH_FLOW'!AD37</x:f>
        <x:v>-272637.5443223221</x:v>
      </x:c>
      <x:c r="C9" t="str">
        <x:v>Cumulative net cash flow</x:v>
      </x:c>
    </x:row>
    <x:row r="10">
      <x:c r="A10" t="str">
        <x:v>Revenue per study month 36</x:v>
      </x:c>
      <x:c r="B10" s="6" t="n">
        <x:f>B3/B6</x:f>
        <x:v>3.8645096076299565</x:v>
      </x:c>
      <x:c r="C10" t="str">
        <x:v>MRR / studies</x:v>
      </x:c>
    </x:row>
    <x:row r="11">
      <x:c r="A11" t="str">
        <x:v>Operating break-even month</x:v>
      </x:c>
      <x:c r="B11" t="str">
        <x:f>IF(COUNTIF('04_CASH_FLOW'!AE2:AE37,"Yes")=0,"&gt;36 months",MATCH("Yes",'04_CASH_FLOW'!AE2:AE37,0))</x:f>
        <x:v>&gt;36 months</x:v>
      </x:c>
      <x:c r="C11" t="str">
        <x:v>First month with EBITDA &gt;= 0</x:v>
      </x:c>
    </x:row>
    <x:row r="12">
      <x:c r="A12" t="str">
        <x:v>Payback month</x:v>
      </x:c>
      <x:c r="B12" t="str">
        <x:f>IF(COUNTIF('04_CASH_FLOW'!AF2:AF37,"Yes")=0,"&gt;36 months",MATCH("Yes",'04_CASH_FLOW'!AF2:AF37,0))</x:f>
        <x:v>&gt;36 months</x:v>
      </x:c>
      <x:c r="C12" t="str">
        <x:v>First month with cumulative cash &gt;= 0</x:v>
      </x:c>
    </x:row>
    <x:row r="13">
      <x:c r="A13" t="str">
        <x:v>VAN / NPV</x:v>
      </x:c>
      <x:c r="B13" s="6" t="n">
        <x:f>SUM('04_CASH_FLOW'!AC2:AC37)</x:f>
        <x:v>-206424.38079627205</x:v>
      </x:c>
      <x:c r="C13" t="str">
        <x:v>Discounted net cash flow</x:v>
      </x:c>
    </x:row>
    <x:row r="14">
      <x:c r="A14" t="str">
        <x:v>TIR monthly</x:v>
      </x:c>
      <x:c r="B14" s="5" t="str">
        <x:f>IFERROR(IRR('04_CASH_FLOW'!AA2:AA37),"n.a.")</x:f>
        <x:v>n.a.</x:v>
      </x:c>
      <x:c r="C14" t="str">
        <x:v>Monthly IRR if sign pattern permits</x:v>
      </x:c>
    </x:row>
    <x:row r="15">
      <x:c r="A15" t="str">
        <x:v>TIR annualized</x:v>
      </x:c>
      <x:c r="B15" s="5" t="str">
        <x:f>IFERROR((1+B14)^12-1,"n.a.")</x:f>
        <x:v>n.a.</x:v>
      </x:c>
      <x:c r="C15" t="str">
        <x:v>Annualized monthly IRR</x:v>
      </x:c>
    </x:row>
    <x:row r="16">
      <x:c r="A16" t="str">
        <x:v>Total revenue 36M</x:v>
      </x:c>
      <x:c r="B16" s="6" t="n">
        <x:f>SUM('04_CASH_FLOW'!L2:L37)</x:f>
        <x:v>344834.39023676125</x:v>
      </x:c>
      <x:c r="C16" t="str">
        <x:v>36-month total revenue</x:v>
      </x:c>
    </x:row>
    <x:row r="17">
      <x:c r="A17" t="str">
        <x:v>Total studies 36M</x:v>
      </x:c>
      <x:c r="B17" s="7" t="n">
        <x:f>SUM('04_CASH_FLOW'!I2:I37)</x:f>
        <x:v>88511.72484125181</x:v>
      </x:c>
      <x:c r="C17" t="str">
        <x:v>36-month processed studies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.75" hidden="0" customWidth="1"/>
    <x:col min="2" max="2" width="135.1300048828125" hidden="0" customWidth="1"/>
    <x:col min="3" max="3" width="10.380000114440918" hidden="0" customWidth="1"/>
    <x:col min="4" max="4" width="16.3799991607666" hidden="0" customWidth="1"/>
    <x:col min="5" max="5" width="13.880000114440918" hidden="0" customWidth="1"/>
    <x:col min="6" max="6" width="18.25" hidden="0" customWidth="1"/>
    <x:col min="7" max="7" width="14.630000114440918" hidden="0" customWidth="1"/>
    <x:col min="8" max="8" width="12.25" hidden="0" customWidth="1"/>
    <x:col min="9" max="9" width="8.75" hidden="0" customWidth="1"/>
    <x:col min="10" max="10" width="11.630000114440918" hidden="0" customWidth="1"/>
  </x:cols>
  <x:sheetData>
    <x:row r="1">
      <x:c r="A1" s="4" t="str">
        <x:v>Scenario</x:v>
      </x:c>
      <x:c r="B1" s="4" t="str">
        <x:v>MRR month 36</x:v>
      </x:c>
      <x:c r="C1" s="4" t="str">
        <x:v>ARR run-rate</x:v>
      </x:c>
      <x:c r="D1" s="4" t="str">
        <x:v>Customers month 36</x:v>
      </x:c>
      <x:c r="E1" s="4" t="str">
        <x:v>Studies month 36</x:v>
      </x:c>
      <x:c r="F1" s="4" t="str">
        <x:v>Gross margin month 36</x:v>
      </x:c>
      <x:c r="G1" s="4" t="str">
        <x:v>Break-even month</x:v>
      </x:c>
      <x:c r="H1" s="4" t="str">
        <x:v>Payback month</x:v>
      </x:c>
      <x:c r="I1" s="4" t="str">
        <x:v>VAN / NPV</x:v>
      </x:c>
      <x:c r="J1" s="4" t="str">
        <x:v>TIR annualized</x:v>
      </x:c>
    </x:row>
    <x:row r="2">
      <x:c r="A2" t="str">
        <x:v>Pesimista</x:v>
      </x:c>
      <x:c r="B2" s="6" t="n">
        <x:v>2147</x:v>
      </x:c>
      <x:c r="C2" s="6" t="n">
        <x:v>25769</x:v>
      </x:c>
      <x:c r="D2" s="7" t="n">
        <x:v>3.923112759130942</x:v>
      </x:c>
      <x:c r="E2" s="7" t="n">
        <x:v>431.54240350440364</x:v>
      </x:c>
      <x:c r="F2" s="5" t="n">
        <x:v>0.005240384615384688</x:v>
      </x:c>
      <x:c r="G2" t="str">
        <x:v>&gt;36 months</x:v>
      </x:c>
      <x:c r="H2" t="str">
        <x:v>&gt;36 months</x:v>
      </x:c>
      <x:c r="I2" s="6" t="n">
        <x:v>-139034</x:v>
      </x:c>
      <x:c r="J2" s="5"/>
    </x:row>
    <x:row r="3">
      <x:c r="A3" t="str">
        <x:v>Base</x:v>
      </x:c>
      <x:c r="B3" s="6" t="n">
        <x:v>16175</x:v>
      </x:c>
      <x:c r="C3" s="6" t="n">
        <x:v>194098</x:v>
      </x:c>
      <x:c r="D3" s="7" t="n">
        <x:v>13.412746415475155</x:v>
      </x:c>
      <x:c r="E3" s="7" t="n">
        <x:v>4185.47500323976</x:v>
      </x:c>
      <x:c r="F3" s="5" t="n">
        <x:v>0.2185295660703198</x:v>
      </x:c>
      <x:c r="G3" t="str">
        <x:v>&gt;36 months</x:v>
      </x:c>
      <x:c r="H3" t="str">
        <x:v>&gt;36 months</x:v>
      </x:c>
      <x:c r="I3" s="6" t="n">
        <x:v>-206424</x:v>
      </x:c>
      <x:c r="J3" s="5"/>
    </x:row>
    <x:row r="4">
      <x:c r="A4" t="str">
        <x:v>Optimista</x:v>
      </x:c>
      <x:c r="B4" s="6" t="n">
        <x:v>74020</x:v>
      </x:c>
      <x:c r="C4" s="6" t="n">
        <x:v>888237</x:v>
      </x:c>
      <x:c r="D4" s="7" t="n">
        <x:v>36.415649445396866</x:v>
      </x:c>
      <x:c r="E4" s="7" t="n">
        <x:v>19247.420311947782</x:v>
      </x:c>
      <x:c r="F4" s="5" t="n">
        <x:v>0.47993801702486183</x:v>
      </x:c>
      <x:c r="G4" t="n">
        <x:v>12</x:v>
      </x:c>
      <x:c r="H4" t="n">
        <x:v>27</x:v>
      </x:c>
      <x:c r="I4" s="6" t="n">
        <x:v>75539</x:v>
      </x:c>
      <x:c r="J4" s="5" t="n">
        <x:v>0.5560579384858748</x:v>
      </x:c>
    </x:row>
    <x:row r="6">
      <x:c r="A6" t="str">
        <x:v>Note</x:v>
      </x:c>
      <x:c r="B6" t="str">
        <x:v>Scenario comparison is generated from the same documented assumptions as the active model. Use 01_ASSUMPTIONS!B2 to inspect a scenario month by month in 04_CASH_FLOW.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.25" hidden="0" customWidth="1"/>
    <x:col min="2" max="2" width="9.380000114440918" hidden="0" customWidth="1"/>
    <x:col min="3" max="3" width="43.5" hidden="0" customWidth="1"/>
  </x:cols>
  <x:sheetData>
    <x:row r="1">
      <x:c r="A1" s="4" t="str">
        <x:v>Break-even metric</x:v>
      </x:c>
      <x:c r="B1" s="4" t="str">
        <x:v>Value</x:v>
      </x:c>
      <x:c r="C1" s="4" t="str">
        <x:v>Formula / note</x:v>
      </x:c>
    </x:row>
    <x:row r="2">
      <x:c r="A2" t="str">
        <x:v>Operating break-even month</x:v>
      </x:c>
      <x:c r="B2" t="str">
        <x:f>'05_KPIS'!B11</x:f>
        <x:v>&gt;36 months</x:v>
      </x:c>
      <x:c r="C2" t="str">
        <x:v>First month with EBITDA &gt;= 0</x:v>
      </x:c>
    </x:row>
    <x:row r="3">
      <x:c r="A3" t="str">
        <x:v>Payback month</x:v>
      </x:c>
      <x:c r="B3" t="str">
        <x:f>'05_KPIS'!B12</x:f>
        <x:v>&gt;36 months</x:v>
      </x:c>
      <x:c r="C3" t="str">
        <x:v>First month with cumulative cash &gt;= 0</x:v>
      </x:c>
    </x:row>
    <x:row r="4">
      <x:c r="A4" t="str">
        <x:v>Fixed monthly cost</x:v>
      </x:c>
      <x:c r="B4" s="6" t="n">
        <x:f>INDEX('01_ASSUMPTIONS'!$J$5:$J$39,MATCH("fixed_infra",'01_ASSUMPTIONS'!$B$5:$B$39,0))+INDEX('01_ASSUMPTIONS'!$J$5:$J$39,MATCH("software_maintenance",'01_ASSUMPTIONS'!$B$5:$B$39,0))+INDEX('01_ASSUMPTIONS'!$J$5:$J$39,MATCH("base_support",'01_ASSUMPTIONS'!$B$5:$B$39,0))+INDEX('01_ASSUMPTIONS'!$J$5:$J$39,MATCH("admin",'01_ASSUMPTIONS'!$B$5:$B$39,0))+INDEX('01_ASSUMPTIONS'!$J$5:$J$39,MATCH("commercial_marketing",'01_ASSUMPTIONS'!$B$5:$B$39,0))+INDEX('01_ASSUMPTIONS'!$J$5:$J$39,MATCH("other_fixed",'01_ASSUMPTIONS'!$B$5:$B$39,0))</x:f>
        <x:v>8600</x:v>
      </x:c>
      <x:c r="C4" t="str">
        <x:v>Monthly fixed operating cost</x:v>
      </x:c>
    </x:row>
    <x:row r="5">
      <x:c r="A5" t="str">
        <x:v>Average revenue per study M36</x:v>
      </x:c>
      <x:c r="B5" s="6" t="n">
        <x:f>'05_KPIS'!B10</x:f>
        <x:v>3.8645096076299565</x:v>
      </x:c>
      <x:c r="C5" t="str">
        <x:v>Month 36 revenue per study</x:v>
      </x:c>
    </x:row>
    <x:row r="6">
      <x:c r="A6" t="str">
        <x:v>Variable cost per study</x:v>
      </x:c>
      <x:c r="B6" s="6" t="n">
        <x:f>INDEX('01_ASSUMPTIONS'!$J$5:$J$39,MATCH("cloud_cost_per_study",'01_ASSUMPTIONS'!$B$5:$B$39,0))+INDEX('01_ASSUMPTIONS'!$J$5:$J$39,MATCH("storage_cost_per_study",'01_ASSUMPTIONS'!$B$5:$B$39,0))+INDEX('01_ASSUMPTIONS'!$J$5:$J$39,MATCH("ai_processing_cost_per_study",'01_ASSUMPTIONS'!$B$5:$B$39,0))</x:f>
        <x:v>3.02</x:v>
      </x:c>
      <x:c r="C6" t="str">
        <x:v>Compute + storage + AI</x:v>
      </x:c>
    </x:row>
    <x:row r="7">
      <x:c r="A7" t="str">
        <x:v>Contribution per study</x:v>
      </x:c>
      <x:c r="B7" s="6" t="n">
        <x:f>B5-B6</x:f>
        <x:v>0.8445096076299565</x:v>
      </x:c>
      <x:c r="C7" t="str">
        <x:v>Revenue per study less study-variable cost</x:v>
      </x:c>
    </x:row>
    <x:row r="8">
      <x:c r="A8" t="str">
        <x:v>Break-even studies/month</x:v>
      </x:c>
      <x:c r="B8" s="7" t="n">
        <x:f>IF(B7&lt;=0,"n.a.",B4/B7)</x:f>
        <x:v>10183.42470269244</x:v>
      </x:c>
      <x:c r="C8" t="str">
        <x:v>Estimated study volume needed to cover fixed cost</x:v>
      </x:c>
    </x:row>
    <x:row r="9">
      <x:c r="A9" t="str">
        <x:v>Break-even customers/month</x:v>
      </x:c>
      <x:c r="B9" s="7" t="n">
        <x:f>IF('05_KPIS'!B6&lt;=0,"n.a.",B8/('05_KPIS'!B6/'05_KPIS'!B5))</x:f>
        <x:v>32.633737645685066</x:v>
      </x:c>
      <x:c r="C9" t="str">
        <x:v>Estimated customers using month-36 study/customer mix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7.5" hidden="0" customWidth="1"/>
    <x:col min="2" max="2" width="117.5" hidden="0" customWidth="1"/>
    <x:col min="3" max="3" width="14.630000114440918" hidden="0" customWidth="1"/>
    <x:col min="4" max="4" width="12.25" hidden="0" customWidth="1"/>
  </x:cols>
  <x:sheetData>
    <x:row r="1">
      <x:c r="A1" s="4" t="str">
        <x:v>Base sensitivity</x:v>
      </x:c>
      <x:c r="B1" s="4" t="str">
        <x:v>VAN / NPV</x:v>
      </x:c>
      <x:c r="C1" s="4" t="str">
        <x:v>Break-even month</x:v>
      </x:c>
      <x:c r="D1" s="4" t="str">
        <x:v>Payback month</x:v>
      </x:c>
    </x:row>
    <x:row r="2">
      <x:c r="A2" t="str">
        <x:v>Pricing -20%</x:v>
      </x:c>
      <x:c r="B2" s="6" t="n">
        <x:v>-251828</x:v>
      </x:c>
      <x:c r="C2" t="str">
        <x:v>&gt;36 months</x:v>
      </x:c>
      <x:c r="D2" t="str">
        <x:v>&gt;36 months</x:v>
      </x:c>
    </x:row>
    <x:row r="3">
      <x:c r="A3" t="str">
        <x:v>Pricing base</x:v>
      </x:c>
      <x:c r="B3" s="6" t="n">
        <x:v>-206424</x:v>
      </x:c>
      <x:c r="C3" t="str">
        <x:v>&gt;36 months</x:v>
      </x:c>
      <x:c r="D3" t="str">
        <x:v>&gt;36 months</x:v>
      </x:c>
    </x:row>
    <x:row r="4">
      <x:c r="A4" t="str">
        <x:v>Pricing +20%</x:v>
      </x:c>
      <x:c r="B4" s="6" t="n">
        <x:v>-161021</x:v>
      </x:c>
      <x:c r="C4" t="str">
        <x:v>&gt;36 months</x:v>
      </x:c>
      <x:c r="D4" t="str">
        <x:v>&gt;36 months</x:v>
      </x:c>
    </x:row>
    <x:row r="5">
      <x:c r="A5" t="str">
        <x:v>Cloud cost/study -30%</x:v>
      </x:c>
      <x:c r="B5" s="6" t="n">
        <x:v>-180253</x:v>
      </x:c>
      <x:c r="C5" t="str">
        <x:v>&gt;36 months</x:v>
      </x:c>
      <x:c r="D5" t="str">
        <x:v>&gt;36 months</x:v>
      </x:c>
    </x:row>
    <x:row r="6">
      <x:c r="A6" t="str">
        <x:v>Cloud cost/study base</x:v>
      </x:c>
      <x:c r="B6" s="6" t="n">
        <x:v>-206424</x:v>
      </x:c>
      <x:c r="C6" t="str">
        <x:v>&gt;36 months</x:v>
      </x:c>
      <x:c r="D6" t="str">
        <x:v>&gt;36 months</x:v>
      </x:c>
    </x:row>
    <x:row r="7">
      <x:c r="A7" t="str">
        <x:v>Cloud cost/study +30%</x:v>
      </x:c>
      <x:c r="B7" s="6" t="n">
        <x:v>-232595</x:v>
      </x:c>
      <x:c r="C7" t="str">
        <x:v>&gt;36 months</x:v>
      </x:c>
      <x:c r="D7" t="str">
        <x:v>&gt;36 months</x:v>
      </x:c>
    </x:row>
    <x:row r="9">
      <x:c r="A9" t="str">
        <x:v>Sensitivity method</x:v>
      </x:c>
      <x:c r="B9" t="str">
        <x:v>Formula-consistent recalculation of the business mechanics using the Base scenario, changing pricing or cloud cost while holding other assumptions constant.</x:v>
      </x:c>
    </x:row>
  </x:sheetData>
  <x:pageMargins left="0.7" right="0.7" top="0.75" bottom="0.75" header="0.3" footer="0.3"/>
</x:worksheet>
</file>